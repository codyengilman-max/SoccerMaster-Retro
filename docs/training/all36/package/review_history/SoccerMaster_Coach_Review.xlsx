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5fdc82587346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ach sign-off" sheetId="1" r:id="R9b105237cb4b41e0"/>
    <x:sheet xmlns:r="http://schemas.openxmlformats.org/officeDocument/2006/relationships" name="Tactical checks" sheetId="2" r:id="Rd6e0a30085554863"/>
    <x:sheet xmlns:r="http://schemas.openxmlformats.org/officeDocument/2006/relationships" name="Answers and feedback" sheetId="3" r:id="R1926ccb12c6a4371"/>
    <x:sheet xmlns:r="http://schemas.openxmlformats.org/officeDocument/2006/relationships" name="Source evidence" sheetId="4" r:id="R20c579e8a29946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m/dd/yyyy"/>
  </x:numFmts>
  <x:fonts count="4">
    <x:font>
      <x:sz val="11"/>
      <x:name val="Carlito"/>
    </x:font>
    <x:font>
      <x:sz val="11"/>
      <x:color rgb="FF17263D"/>
      <x:name val="Arial"/>
    </x:font>
    <x:font>
      <x:b/>
      <x:sz val="16"/>
      <x:color rgb="FF17263D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263D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3bfbfc4f4e4bc6" /><Relationship Type="http://schemas.openxmlformats.org/officeDocument/2006/relationships/theme" Target="/xl/theme/theme1.xml" Id="Rc11eea8025ab4c0f" /><Relationship Type="http://schemas.openxmlformats.org/officeDocument/2006/relationships/sharedStrings" Target="/xl/sharedStrings.xml" Id="Rb9e7ebd90d344762" /><Relationship Type="http://schemas.openxmlformats.org/officeDocument/2006/relationships/worksheet" Target="/xl/worksheets/sheet1.xml" Id="R9b105237cb4b41e0" /><Relationship Type="http://schemas.openxmlformats.org/officeDocument/2006/relationships/worksheet" Target="/xl/worksheets/sheet2.xml" Id="Rd6e0a30085554863" /><Relationship Type="http://schemas.openxmlformats.org/officeDocument/2006/relationships/worksheet" Target="/xl/worksheets/sheet3.xml" Id="R1926ccb12c6a4371" /><Relationship Type="http://schemas.openxmlformats.org/officeDocument/2006/relationships/worksheet" Target="/xl/worksheets/sheet4.xml" Id="R20c579e8a29946ca" /></Relationships>
</file>

<file path=xl/tables/table1.xml><?xml version="1.0" encoding="utf-8"?>
<x:table xmlns:x="http://schemas.openxmlformats.org/spreadsheetml/2006/main" id="1" name="TCoachsignoff" displayName="TCoachsignoff" ref="A8:L44" headerRowCount="1" totalsRowCount="0" totalsRowShown="0">
  <x:tableColumns count="12">
    <x:tableColumn id="1" name="ID"/>
    <x:tableColumn id="2" name="Situation"/>
    <x:tableColumn id="3" name="Recorded status"/>
    <x:tableColumn id="4" name="Coach name"/>
    <x:tableColumn id="5" name="Qualifications / experience"/>
    <x:tableColumn id="6" name="Review date"/>
    <x:tableColumn id="7" name="Reviewed version hash"/>
    <x:tableColumn id="8" name="Signed name / attestation"/>
    <x:tableColumn id="9" name="Decision"/>
    <x:tableColumn id="10" name="Open corrections (count)"/>
    <x:tableColumn id="11" name="Both variants checked"/>
    <x:tableColumn id="12" name="Required version has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Tacticalchecks" displayName="TTacticalchecks" ref="A8:O80" headerRowCount="1" totalsRowCount="0" totalsRowShown="0">
  <x:tableColumns count="15">
    <x:tableColumn id="1" name="ID"/>
    <x:tableColumn id="2" name="Variant"/>
    <x:tableColumn id="3" name="Visible cues"/>
    <x:tableColumn id="4" name="9v9 / age fit"/>
    <x:tableColumn id="5" name="Positions / threats"/>
    <x:tableColumn id="6" name="All answer grades"/>
    <x:tableColumn id="7" name="Coach feedback"/>
    <x:tableColumn id="8" name="Preview accuracy"/>
    <x:tableColumn id="9" name="Source adaptation"/>
    <x:tableColumn id="10" name="Variant status"/>
    <x:tableColumn id="11" name="Corrections / alternative answers"/>
    <x:tableColumn id="12" name="Boy decision"/>
    <x:tableColumn id="13" name="Boy consequence"/>
    <x:tableColumn id="14" name="Girl decision"/>
    <x:tableColumn id="15" name="Girl consequ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nswersandfeedback" displayName="TAnswersandfeedback" ref="A8:J296" headerRowCount="1" totalsRowCount="0" totalsRowShown="0">
  <x:tableColumns count="10">
    <x:tableColumn id="1" name="ID"/>
    <x:tableColumn id="2" name="Variant"/>
    <x:tableColumn id="3" name="Choice"/>
    <x:tableColumn id="4" name="Proposed action"/>
    <x:tableColumn id="5" name="Proposed grade"/>
    <x:tableColumn id="6" name="Coach Code feedback"/>
    <x:tableColumn id="7" name="Illustrated consequence"/>
    <x:tableColumn id="8" name="State rationale"/>
    <x:tableColumn id="9" name="Source IDs"/>
    <x:tableColumn id="10" name="Coach correc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Sourceevidence" displayName="TSourceevidence" ref="A8:G22" headerRowCount="1" totalsRowCount="0" totalsRowShown="0">
  <x:tableColumns count="7">
    <x:tableColumn id="1" name="Source ID"/>
    <x:tableColumn id="2" name="Title"/>
    <x:tableColumn id="3" name="Publisher"/>
    <x:tableColumn id="4" name="Activity / principle"/>
    <x:tableColumn id="5" name="Locator"/>
    <x:tableColumn id="6" name="Source limitations"/>
    <x:tableColumn id="7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09a418bfbcd41c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4d372ce125f44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05d4df33efe49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c68945f522843bb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10" hidden="0" customWidth="1"/>
    <x:col min="2" max="2" width="37" hidden="0" customWidth="1"/>
    <x:col min="3" max="3" width="24" hidden="0" customWidth="1"/>
    <x:col min="4" max="4" width="24" hidden="0" customWidth="1"/>
    <x:col min="5" max="5" width="30" hidden="0" customWidth="1"/>
    <x:col min="6" max="6" width="16" hidden="0" customWidth="1"/>
    <x:col min="7" max="7" width="27" hidden="0" customWidth="1"/>
    <x:col min="8" max="8" width="27" hidden="0" customWidth="1"/>
    <x:col min="9" max="9" width="22" hidden="0" customWidth="1"/>
    <x:col min="10" max="10" width="22" hidden="0" customWidth="1"/>
    <x:col min="11" max="11" width="23" hidden="0" customWidth="1"/>
    <x:col min="12" max="12" width="2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SoccerMaster coach review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 t="str">
        <x:v>Review both variants and all four answers. Complete amber cells. Only the coach records approval.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1" t="str">
        <x:v>Scope: U11–U12 9v9 tactical content and static previews. Not animation, runtime, or formal certification.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1" t="str">
        <x:v>Approved situations:</x:v>
      </x:c>
      <x:c r="B6" s="1"/>
      <x:c r="C6" s="1" t="n">
        <x:f>COUNTIFS(C9:C44,"Approval recorded")</x:f>
        <x:v>0</x:v>
      </x:c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44" customHeight="1">
      <x:c r="A8" s="5" t="str">
        <x:v>ID</x:v>
      </x:c>
      <x:c r="B8" s="5" t="str">
        <x:v>Situation</x:v>
      </x:c>
      <x:c r="C8" s="5" t="str">
        <x:v>Recorded status</x:v>
      </x:c>
      <x:c r="D8" s="5" t="str">
        <x:v>Coach name</x:v>
      </x:c>
      <x:c r="E8" s="5" t="str">
        <x:v>Qualifications / experience</x:v>
      </x:c>
      <x:c r="F8" s="5" t="str">
        <x:v>Review date</x:v>
      </x:c>
      <x:c r="G8" s="5" t="str">
        <x:v>Reviewed version hash</x:v>
      </x:c>
      <x:c r="H8" s="5" t="str">
        <x:v>Signed name / attestation</x:v>
      </x:c>
      <x:c r="I8" s="5" t="str">
        <x:v>Decision</x:v>
      </x:c>
      <x:c r="J8" s="5" t="str">
        <x:v>Open corrections (count)</x:v>
      </x:c>
      <x:c r="K8" s="5" t="str">
        <x:v>Both variants checked</x:v>
      </x:c>
      <x:c r="L8" s="5" t="str">
        <x:v>Required version hash</x:v>
      </x:c>
    </x:row>
    <x:row r="9" ht="70" customHeight="1">
      <x:c r="A9" s="7" t="str">
        <x:v>D01</x:v>
      </x:c>
      <x:c r="B9" s="7" t="str">
        <x:v>Own-half superiority — CB</x:v>
      </x:c>
      <x:c r="C9" s="7" t="str">
        <x:f>IF(I9="Reject","Rejected",IF(I9="Revise","Corrections required",IF(AND(I9="Approve",D9&lt;&gt;"",E9&lt;&gt;"",ISNUMBER(F9),F9&gt;0,G9=L9,H9&lt;&gt;"",ISNUMBER(J9),J9=0,K9="Passed"),"Approval recorded","Pending")))</x:f>
        <x:v>Pending</x:v>
      </x:c>
      <x:c r="D9" s="8"/>
      <x:c r="E9" s="8"/>
      <x:c r="F9" s="9"/>
      <x:c r="G9" s="8"/>
      <x:c r="H9" s="8"/>
      <x:c r="I9" s="8" t="str">
        <x:v>Pending</x:v>
      </x:c>
      <x:c r="J9" s="8"/>
      <x:c r="K9" s="7" t="str">
        <x:f>IF(COUNTIFS('Tactical checks'!$A$9:$A$80,A9,'Tactical checks'!$J$9:$J$80,"Passed")=2,"Passed","Review needed")</x:f>
        <x:v>Review needed</x:v>
      </x:c>
      <x:c r="L9" s="7" t="str">
        <x:v>7605c64b0535ed50a844b2673627df16f18d58b1ab15dcad33d195066aed9932</x:v>
      </x:c>
    </x:row>
    <x:row r="10" ht="70" customHeight="1">
      <x:c r="A10" s="7" t="str">
        <x:v>D02</x:v>
      </x:c>
      <x:c r="B10" s="7" t="str">
        <x:v>Own-half superiority — LB</x:v>
      </x:c>
      <x:c r="C10" s="7" t="str">
        <x:f>IF(I10="Reject","Rejected",IF(I10="Revise","Corrections required",IF(AND(I10="Approve",D10&lt;&gt;"",E10&lt;&gt;"",ISNUMBER(F10),F10&gt;0,G10=L10,H10&lt;&gt;"",ISNUMBER(J10),J10=0,K10="Passed"),"Approval recorded","Pending")))</x:f>
        <x:v>Pending</x:v>
      </x:c>
      <x:c r="D10" s="8"/>
      <x:c r="E10" s="8"/>
      <x:c r="F10" s="9"/>
      <x:c r="G10" s="8"/>
      <x:c r="H10" s="8"/>
      <x:c r="I10" s="8" t="str">
        <x:v>Pending</x:v>
      </x:c>
      <x:c r="J10" s="8"/>
      <x:c r="K10" s="7" t="str">
        <x:f>IF(COUNTIFS('Tactical checks'!$A$9:$A$80,A10,'Tactical checks'!$J$9:$J$80,"Passed")=2,"Passed","Review needed")</x:f>
        <x:v>Review needed</x:v>
      </x:c>
      <x:c r="L10" s="7" t="str">
        <x:v>8e2082b74fb2444a09c0063fd89319182855b4eea4fb012d16ab1504cc44b506</x:v>
      </x:c>
    </x:row>
    <x:row r="11" ht="70" customHeight="1">
      <x:c r="A11" s="7" t="str">
        <x:v>D03</x:v>
      </x:c>
      <x:c r="B11" s="7" t="str">
        <x:v>Own-half superiority — DM</x:v>
      </x:c>
      <x:c r="C11" s="7" t="str">
        <x:f>IF(I11="Reject","Rejected",IF(I11="Revise","Corrections required",IF(AND(I11="Approve",D11&lt;&gt;"",E11&lt;&gt;"",ISNUMBER(F11),F11&gt;0,G11=L11,H11&lt;&gt;"",ISNUMBER(J11),J11=0,K11="Passed"),"Approval recorded","Pending")))</x:f>
        <x:v>Pending</x:v>
      </x:c>
      <x:c r="D11" s="8"/>
      <x:c r="E11" s="8"/>
      <x:c r="F11" s="9"/>
      <x:c r="G11" s="8"/>
      <x:c r="H11" s="8"/>
      <x:c r="I11" s="8" t="str">
        <x:v>Pending</x:v>
      </x:c>
      <x:c r="J11" s="8"/>
      <x:c r="K11" s="7" t="str">
        <x:f>IF(COUNTIFS('Tactical checks'!$A$9:$A$80,A11,'Tactical checks'!$J$9:$J$80,"Passed")=2,"Passed","Review needed")</x:f>
        <x:v>Review needed</x:v>
      </x:c>
      <x:c r="L11" s="7" t="str">
        <x:v>d9094a6fb292da8330e10dc90103d9b1013472dbae75804269e0e6f778dcbf74</x:v>
      </x:c>
    </x:row>
    <x:row r="12" ht="70" customHeight="1">
      <x:c r="A12" s="7" t="str">
        <x:v>D04</x:v>
      </x:c>
      <x:c r="B12" s="7" t="str">
        <x:v>Escape the first press — LB</x:v>
      </x:c>
      <x:c r="C12" s="7" t="str">
        <x:f>IF(I12="Reject","Rejected",IF(I12="Revise","Corrections required",IF(AND(I12="Approve",D12&lt;&gt;"",E12&lt;&gt;"",ISNUMBER(F12),F12&gt;0,G12=L12,H12&lt;&gt;"",ISNUMBER(J12),J12=0,K12="Passed"),"Approval recorded","Pending")))</x:f>
        <x:v>Pending</x:v>
      </x:c>
      <x:c r="D12" s="8"/>
      <x:c r="E12" s="8"/>
      <x:c r="F12" s="9"/>
      <x:c r="G12" s="8"/>
      <x:c r="H12" s="8"/>
      <x:c r="I12" s="8" t="str">
        <x:v>Pending</x:v>
      </x:c>
      <x:c r="J12" s="8"/>
      <x:c r="K12" s="7" t="str">
        <x:f>IF(COUNTIFS('Tactical checks'!$A$9:$A$80,A12,'Tactical checks'!$J$9:$J$80,"Passed")=2,"Passed","Review needed")</x:f>
        <x:v>Review needed</x:v>
      </x:c>
      <x:c r="L12" s="7" t="str">
        <x:v>8b7d4bb7909416463192c60d9d6cfa0225e142afd3083a8c8b93626608b1d1f6</x:v>
      </x:c>
    </x:row>
    <x:row r="13" ht="70" customHeight="1">
      <x:c r="A13" s="7" t="str">
        <x:v>D05</x:v>
      </x:c>
      <x:c r="B13" s="7" t="str">
        <x:v>Escape the first press — RB</x:v>
      </x:c>
      <x:c r="C13" s="7" t="str">
        <x:f>IF(I13="Reject","Rejected",IF(I13="Revise","Corrections required",IF(AND(I13="Approve",D13&lt;&gt;"",E13&lt;&gt;"",ISNUMBER(F13),F13&gt;0,G13=L13,H13&lt;&gt;"",ISNUMBER(J13),J13=0,K13="Passed"),"Approval recorded","Pending")))</x:f>
        <x:v>Pending</x:v>
      </x:c>
      <x:c r="D13" s="8"/>
      <x:c r="E13" s="8"/>
      <x:c r="F13" s="9"/>
      <x:c r="G13" s="8"/>
      <x:c r="H13" s="8"/>
      <x:c r="I13" s="8" t="str">
        <x:v>Pending</x:v>
      </x:c>
      <x:c r="J13" s="8"/>
      <x:c r="K13" s="7" t="str">
        <x:f>IF(COUNTIFS('Tactical checks'!$A$9:$A$80,A13,'Tactical checks'!$J$9:$J$80,"Passed")=2,"Passed","Review needed")</x:f>
        <x:v>Review needed</x:v>
      </x:c>
      <x:c r="L13" s="7" t="str">
        <x:v>49a0a68365c5cea828e7b7a5b8cc19d27434bcd406ad791be3e4820ed7edee6a</x:v>
      </x:c>
    </x:row>
    <x:row r="14" ht="70" customHeight="1">
      <x:c r="A14" s="7" t="str">
        <x:v>D06</x:v>
      </x:c>
      <x:c r="B14" s="7" t="str">
        <x:v>Escape the first press — DM</x:v>
      </x:c>
      <x:c r="C14" s="7" t="str">
        <x:f>IF(I14="Reject","Rejected",IF(I14="Revise","Corrections required",IF(AND(I14="Approve",D14&lt;&gt;"",E14&lt;&gt;"",ISNUMBER(F14),F14&gt;0,G14=L14,H14&lt;&gt;"",ISNUMBER(J14),J14=0,K14="Passed"),"Approval recorded","Pending")))</x:f>
        <x:v>Pending</x:v>
      </x:c>
      <x:c r="D14" s="8"/>
      <x:c r="E14" s="8"/>
      <x:c r="F14" s="9"/>
      <x:c r="G14" s="8"/>
      <x:c r="H14" s="8"/>
      <x:c r="I14" s="8" t="str">
        <x:v>Pending</x:v>
      </x:c>
      <x:c r="J14" s="8"/>
      <x:c r="K14" s="7" t="str">
        <x:f>IF(COUNTIFS('Tactical checks'!$A$9:$A$80,A14,'Tactical checks'!$J$9:$J$80,"Passed")=2,"Passed","Review needed")</x:f>
        <x:v>Review needed</x:v>
      </x:c>
      <x:c r="L14" s="7" t="str">
        <x:v>a8f05dd43478a7a99715b83825382e07c44b2672abb3f4278452dda4c39c75f6</x:v>
      </x:c>
    </x:row>
    <x:row r="15" ht="70" customHeight="1">
      <x:c r="A15" s="7" t="str">
        <x:v>D07</x:v>
      </x:c>
      <x:c r="B15" s="7" t="str">
        <x:v>Create a local overload — LW</x:v>
      </x:c>
      <x:c r="C15" s="7" t="str">
        <x:f>IF(I15="Reject","Rejected",IF(I15="Revise","Corrections required",IF(AND(I15="Approve",D15&lt;&gt;"",E15&lt;&gt;"",ISNUMBER(F15),F15&gt;0,G15=L15,H15&lt;&gt;"",ISNUMBER(J15),J15=0,K15="Passed"),"Approval recorded","Pending")))</x:f>
        <x:v>Pending</x:v>
      </x:c>
      <x:c r="D15" s="8"/>
      <x:c r="E15" s="8"/>
      <x:c r="F15" s="9"/>
      <x:c r="G15" s="8"/>
      <x:c r="H15" s="8"/>
      <x:c r="I15" s="8" t="str">
        <x:v>Pending</x:v>
      </x:c>
      <x:c r="J15" s="8"/>
      <x:c r="K15" s="7" t="str">
        <x:f>IF(COUNTIFS('Tactical checks'!$A$9:$A$80,A15,'Tactical checks'!$J$9:$J$80,"Passed")=2,"Passed","Review needed")</x:f>
        <x:v>Review needed</x:v>
      </x:c>
      <x:c r="L15" s="7" t="str">
        <x:v>63c3dd54cbbb3794db01b3880d596732006f6e13374e874e5d4add85508d3925</x:v>
      </x:c>
    </x:row>
    <x:row r="16" ht="70" customHeight="1">
      <x:c r="A16" s="7" t="str">
        <x:v>D08</x:v>
      </x:c>
      <x:c r="B16" s="7" t="str">
        <x:v>Create a local overload — CM</x:v>
      </x:c>
      <x:c r="C16" s="7" t="str">
        <x:f>IF(I16="Reject","Rejected",IF(I16="Revise","Corrections required",IF(AND(I16="Approve",D16&lt;&gt;"",E16&lt;&gt;"",ISNUMBER(F16),F16&gt;0,G16=L16,H16&lt;&gt;"",ISNUMBER(J16),J16=0,K16="Passed"),"Approval recorded","Pending")))</x:f>
        <x:v>Pending</x:v>
      </x:c>
      <x:c r="D16" s="8"/>
      <x:c r="E16" s="8"/>
      <x:c r="F16" s="9"/>
      <x:c r="G16" s="8"/>
      <x:c r="H16" s="8"/>
      <x:c r="I16" s="8" t="str">
        <x:v>Pending</x:v>
      </x:c>
      <x:c r="J16" s="8"/>
      <x:c r="K16" s="7" t="str">
        <x:f>IF(COUNTIFS('Tactical checks'!$A$9:$A$80,A16,'Tactical checks'!$J$9:$J$80,"Passed")=2,"Passed","Review needed")</x:f>
        <x:v>Review needed</x:v>
      </x:c>
      <x:c r="L16" s="7" t="str">
        <x:v>db70669d5881c7942b7fbe740d9f209878082355ad095f9cf4759af4b6c14b8a</x:v>
      </x:c>
    </x:row>
    <x:row r="17" ht="70" customHeight="1">
      <x:c r="A17" s="7" t="str">
        <x:v>D09</x:v>
      </x:c>
      <x:c r="B17" s="7" t="str">
        <x:v>Create a local overload — RW</x:v>
      </x:c>
      <x:c r="C17" s="7" t="str">
        <x:f>IF(I17="Reject","Rejected",IF(I17="Revise","Corrections required",IF(AND(I17="Approve",D17&lt;&gt;"",E17&lt;&gt;"",ISNUMBER(F17),F17&gt;0,G17=L17,H17&lt;&gt;"",ISNUMBER(J17),J17=0,K17="Passed"),"Approval recorded","Pending")))</x:f>
        <x:v>Pending</x:v>
      </x:c>
      <x:c r="D17" s="8"/>
      <x:c r="E17" s="8"/>
      <x:c r="F17" s="9"/>
      <x:c r="G17" s="8"/>
      <x:c r="H17" s="8"/>
      <x:c r="I17" s="8" t="str">
        <x:v>Pending</x:v>
      </x:c>
      <x:c r="J17" s="8"/>
      <x:c r="K17" s="7" t="str">
        <x:f>IF(COUNTIFS('Tactical checks'!$A$9:$A$80,A17,'Tactical checks'!$J$9:$J$80,"Passed")=2,"Passed","Review needed")</x:f>
        <x:v>Review needed</x:v>
      </x:c>
      <x:c r="L17" s="7" t="str">
        <x:v>5b1fa7a6d23f798da1b3fb2c2da7b6165c761e5820f0239a13f07e5c0f40c373</x:v>
      </x:c>
    </x:row>
    <x:row r="18" ht="70" customHeight="1">
      <x:c r="A18" s="7" t="str">
        <x:v>D10</x:v>
      </x:c>
      <x:c r="B18" s="7" t="str">
        <x:v>Switch and exploit space — CM</x:v>
      </x:c>
      <x:c r="C18" s="7" t="str">
        <x:f>IF(I18="Reject","Rejected",IF(I18="Revise","Corrections required",IF(AND(I18="Approve",D18&lt;&gt;"",E18&lt;&gt;"",ISNUMBER(F18),F18&gt;0,G18=L18,H18&lt;&gt;"",ISNUMBER(J18),J18=0,K18="Passed"),"Approval recorded","Pending")))</x:f>
        <x:v>Pending</x:v>
      </x:c>
      <x:c r="D18" s="8"/>
      <x:c r="E18" s="8"/>
      <x:c r="F18" s="9"/>
      <x:c r="G18" s="8"/>
      <x:c r="H18" s="8"/>
      <x:c r="I18" s="8" t="str">
        <x:v>Pending</x:v>
      </x:c>
      <x:c r="J18" s="8"/>
      <x:c r="K18" s="7" t="str">
        <x:f>IF(COUNTIFS('Tactical checks'!$A$9:$A$80,A18,'Tactical checks'!$J$9:$J$80,"Passed")=2,"Passed","Review needed")</x:f>
        <x:v>Review needed</x:v>
      </x:c>
      <x:c r="L18" s="7" t="str">
        <x:v>2a8cc7ea2e35dacfcbba5ef319e63ca67dade9c654c1ff9107cdb00e18107bc2</x:v>
      </x:c>
    </x:row>
    <x:row r="19" ht="70" customHeight="1">
      <x:c r="A19" s="7" t="str">
        <x:v>D11</x:v>
      </x:c>
      <x:c r="B19" s="7" t="str">
        <x:v>Switch and exploit space — RW</x:v>
      </x:c>
      <x:c r="C19" s="7" t="str">
        <x:f>IF(I19="Reject","Rejected",IF(I19="Revise","Corrections required",IF(AND(I19="Approve",D19&lt;&gt;"",E19&lt;&gt;"",ISNUMBER(F19),F19&gt;0,G19=L19,H19&lt;&gt;"",ISNUMBER(J19),J19=0,K19="Passed"),"Approval recorded","Pending")))</x:f>
        <x:v>Pending</x:v>
      </x:c>
      <x:c r="D19" s="8"/>
      <x:c r="E19" s="8"/>
      <x:c r="F19" s="9"/>
      <x:c r="G19" s="8"/>
      <x:c r="H19" s="8"/>
      <x:c r="I19" s="8" t="str">
        <x:v>Pending</x:v>
      </x:c>
      <x:c r="J19" s="8"/>
      <x:c r="K19" s="7" t="str">
        <x:f>IF(COUNTIFS('Tactical checks'!$A$9:$A$80,A19,'Tactical checks'!$J$9:$J$80,"Passed")=2,"Passed","Review needed")</x:f>
        <x:v>Review needed</x:v>
      </x:c>
      <x:c r="L19" s="7" t="str">
        <x:v>b12a469b00dfe30bf4c5fc44f735ca73540f1053983be323da23d596e746d35d</x:v>
      </x:c>
    </x:row>
    <x:row r="20" ht="70" customHeight="1">
      <x:c r="A20" s="7" t="str">
        <x:v>D12</x:v>
      </x:c>
      <x:c r="B20" s="7" t="str">
        <x:v>Switch and exploit space — LW</x:v>
      </x:c>
      <x:c r="C20" s="7" t="str">
        <x:f>IF(I20="Reject","Rejected",IF(I20="Revise","Corrections required",IF(AND(I20="Approve",D20&lt;&gt;"",E20&lt;&gt;"",ISNUMBER(F20),F20&gt;0,G20=L20,H20&lt;&gt;"",ISNUMBER(J20),J20=0,K20="Passed"),"Approval recorded","Pending")))</x:f>
        <x:v>Pending</x:v>
      </x:c>
      <x:c r="D20" s="8"/>
      <x:c r="E20" s="8"/>
      <x:c r="F20" s="9"/>
      <x:c r="G20" s="8"/>
      <x:c r="H20" s="8"/>
      <x:c r="I20" s="8" t="str">
        <x:v>Pending</x:v>
      </x:c>
      <x:c r="J20" s="8"/>
      <x:c r="K20" s="7" t="str">
        <x:f>IF(COUNTIFS('Tactical checks'!$A$9:$A$80,A20,'Tactical checks'!$J$9:$J$80,"Passed")=2,"Passed","Review needed")</x:f>
        <x:v>Review needed</x:v>
      </x:c>
      <x:c r="L20" s="7" t="str">
        <x:v>ed557ec9d67c42bf4c848964d3738b8077c0c4fb6d2a76ae8b8cc210f31bda7e</x:v>
      </x:c>
    </x:row>
    <x:row r="21" ht="70" customHeight="1">
      <x:c r="A21" s="7" t="str">
        <x:v>D13</x:v>
      </x:c>
      <x:c r="B21" s="7" t="str">
        <x:v>Beat recovery pressure — ST</x:v>
      </x:c>
      <x:c r="C21" s="7" t="str">
        <x:f>IF(I21="Reject","Rejected",IF(I21="Revise","Corrections required",IF(AND(I21="Approve",D21&lt;&gt;"",E21&lt;&gt;"",ISNUMBER(F21),F21&gt;0,G21=L21,H21&lt;&gt;"",ISNUMBER(J21),J21=0,K21="Passed"),"Approval recorded","Pending")))</x:f>
        <x:v>Pending</x:v>
      </x:c>
      <x:c r="D21" s="8"/>
      <x:c r="E21" s="8"/>
      <x:c r="F21" s="9"/>
      <x:c r="G21" s="8"/>
      <x:c r="H21" s="8"/>
      <x:c r="I21" s="8" t="str">
        <x:v>Pending</x:v>
      </x:c>
      <x:c r="J21" s="8"/>
      <x:c r="K21" s="7" t="str">
        <x:f>IF(COUNTIFS('Tactical checks'!$A$9:$A$80,A21,'Tactical checks'!$J$9:$J$80,"Passed")=2,"Passed","Review needed")</x:f>
        <x:v>Review needed</x:v>
      </x:c>
      <x:c r="L21" s="7" t="str">
        <x:v>11573f3ee5805ed57e017cf8e0e07bb8b487181261a18608ec0715bf1e379e28</x:v>
      </x:c>
    </x:row>
    <x:row r="22" ht="70" customHeight="1">
      <x:c r="A22" s="7" t="str">
        <x:v>D14</x:v>
      </x:c>
      <x:c r="B22" s="7" t="str">
        <x:v>Beat recovery pressure — CM</x:v>
      </x:c>
      <x:c r="C22" s="7" t="str">
        <x:f>IF(I22="Reject","Rejected",IF(I22="Revise","Corrections required",IF(AND(I22="Approve",D22&lt;&gt;"",E22&lt;&gt;"",ISNUMBER(F22),F22&gt;0,G22=L22,H22&lt;&gt;"",ISNUMBER(J22),J22=0,K22="Passed"),"Approval recorded","Pending")))</x:f>
        <x:v>Pending</x:v>
      </x:c>
      <x:c r="D22" s="8"/>
      <x:c r="E22" s="8"/>
      <x:c r="F22" s="9"/>
      <x:c r="G22" s="8"/>
      <x:c r="H22" s="8"/>
      <x:c r="I22" s="8" t="str">
        <x:v>Pending</x:v>
      </x:c>
      <x:c r="J22" s="8"/>
      <x:c r="K22" s="7" t="str">
        <x:f>IF(COUNTIFS('Tactical checks'!$A$9:$A$80,A22,'Tactical checks'!$J$9:$J$80,"Passed")=2,"Passed","Review needed")</x:f>
        <x:v>Review needed</x:v>
      </x:c>
      <x:c r="L22" s="7" t="str">
        <x:v>7ffa4f53864b7e4601895277a0b8c24156d8749e668527f6d4dc5d75f2ab6576</x:v>
      </x:c>
    </x:row>
    <x:row r="23" ht="70" customHeight="1">
      <x:c r="A23" s="7" t="str">
        <x:v>D15</x:v>
      </x:c>
      <x:c r="B23" s="7" t="str">
        <x:v>Beat recovery pressure — LW</x:v>
      </x:c>
      <x:c r="C23" s="7" t="str">
        <x:f>IF(I23="Reject","Rejected",IF(I23="Revise","Corrections required",IF(AND(I23="Approve",D23&lt;&gt;"",E23&lt;&gt;"",ISNUMBER(F23),F23&gt;0,G23=L23,H23&lt;&gt;"",ISNUMBER(J23),J23=0,K23="Passed"),"Approval recorded","Pending")))</x:f>
        <x:v>Pending</x:v>
      </x:c>
      <x:c r="D23" s="8"/>
      <x:c r="E23" s="8"/>
      <x:c r="F23" s="9"/>
      <x:c r="G23" s="8"/>
      <x:c r="H23" s="8"/>
      <x:c r="I23" s="8" t="str">
        <x:v>Pending</x:v>
      </x:c>
      <x:c r="J23" s="8"/>
      <x:c r="K23" s="7" t="str">
        <x:f>IF(COUNTIFS('Tactical checks'!$A$9:$A$80,A23,'Tactical checks'!$J$9:$J$80,"Passed")=2,"Passed","Review needed")</x:f>
        <x:v>Review needed</x:v>
      </x:c>
      <x:c r="L23" s="7" t="str">
        <x:v>f42ee98eb96a41d024c5c0590fff82766dec24ca261bac7271ae4fdfe7fd4d97</x:v>
      </x:c>
    </x:row>
    <x:row r="24" ht="70" customHeight="1">
      <x:c r="A24" s="7" t="str">
        <x:v>D16</x:v>
      </x:c>
      <x:c r="B24" s="7" t="str">
        <x:v>Complement finishing runs — RW</x:v>
      </x:c>
      <x:c r="C24" s="7" t="str">
        <x:f>IF(I24="Reject","Rejected",IF(I24="Revise","Corrections required",IF(AND(I24="Approve",D24&lt;&gt;"",E24&lt;&gt;"",ISNUMBER(F24),F24&gt;0,G24=L24,H24&lt;&gt;"",ISNUMBER(J24),J24=0,K24="Passed"),"Approval recorded","Pending")))</x:f>
        <x:v>Pending</x:v>
      </x:c>
      <x:c r="D24" s="8"/>
      <x:c r="E24" s="8"/>
      <x:c r="F24" s="9"/>
      <x:c r="G24" s="8"/>
      <x:c r="H24" s="8"/>
      <x:c r="I24" s="8" t="str">
        <x:v>Pending</x:v>
      </x:c>
      <x:c r="J24" s="8"/>
      <x:c r="K24" s="7" t="str">
        <x:f>IF(COUNTIFS('Tactical checks'!$A$9:$A$80,A24,'Tactical checks'!$J$9:$J$80,"Passed")=2,"Passed","Review needed")</x:f>
        <x:v>Review needed</x:v>
      </x:c>
      <x:c r="L24" s="7" t="str">
        <x:v>2f58f9a171b3265b0b4f500af3a3d8073c77744a03217c45dc262bd6824d7025</x:v>
      </x:c>
    </x:row>
    <x:row r="25" ht="70" customHeight="1">
      <x:c r="A25" s="7" t="str">
        <x:v>D17</x:v>
      </x:c>
      <x:c r="B25" s="7" t="str">
        <x:v>Complement finishing runs — ST</x:v>
      </x:c>
      <x:c r="C25" s="7" t="str">
        <x:f>IF(I25="Reject","Rejected",IF(I25="Revise","Corrections required",IF(AND(I25="Approve",D25&lt;&gt;"",E25&lt;&gt;"",ISNUMBER(F25),F25&gt;0,G25=L25,H25&lt;&gt;"",ISNUMBER(J25),J25=0,K25="Passed"),"Approval recorded","Pending")))</x:f>
        <x:v>Pending</x:v>
      </x:c>
      <x:c r="D25" s="8"/>
      <x:c r="E25" s="8"/>
      <x:c r="F25" s="9"/>
      <x:c r="G25" s="8"/>
      <x:c r="H25" s="8"/>
      <x:c r="I25" s="8" t="str">
        <x:v>Pending</x:v>
      </x:c>
      <x:c r="J25" s="8"/>
      <x:c r="K25" s="7" t="str">
        <x:f>IF(COUNTIFS('Tactical checks'!$A$9:$A$80,A25,'Tactical checks'!$J$9:$J$80,"Passed")=2,"Passed","Review needed")</x:f>
        <x:v>Review needed</x:v>
      </x:c>
      <x:c r="L25" s="7" t="str">
        <x:v>9f801d072de4e3bf4e113a8659c4bb07abcc344091b6193d62d2387e3d346758</x:v>
      </x:c>
    </x:row>
    <x:row r="26" ht="70" customHeight="1">
      <x:c r="A26" s="7" t="str">
        <x:v>D18</x:v>
      </x:c>
      <x:c r="B26" s="7" t="str">
        <x:v>Complement finishing runs — CM</x:v>
      </x:c>
      <x:c r="C26" s="7" t="str">
        <x:f>IF(I26="Reject","Rejected",IF(I26="Revise","Corrections required",IF(AND(I26="Approve",D26&lt;&gt;"",E26&lt;&gt;"",ISNUMBER(F26),F26&gt;0,G26=L26,H26&lt;&gt;"",ISNUMBER(J26),J26=0,K26="Passed"),"Approval recorded","Pending")))</x:f>
        <x:v>Pending</x:v>
      </x:c>
      <x:c r="D26" s="8"/>
      <x:c r="E26" s="8"/>
      <x:c r="F26" s="9"/>
      <x:c r="G26" s="8"/>
      <x:c r="H26" s="8"/>
      <x:c r="I26" s="8" t="str">
        <x:v>Pending</x:v>
      </x:c>
      <x:c r="J26" s="8"/>
      <x:c r="K26" s="7" t="str">
        <x:f>IF(COUNTIFS('Tactical checks'!$A$9:$A$80,A26,'Tactical checks'!$J$9:$J$80,"Passed")=2,"Passed","Review needed")</x:f>
        <x:v>Review needed</x:v>
      </x:c>
      <x:c r="L26" s="7" t="str">
        <x:v>510fc9df821610f08b8d1ba3bf0bb63c4aabcdf01a1398374529364958de2377</x:v>
      </x:c>
    </x:row>
    <x:row r="27" ht="70" customHeight="1">
      <x:c r="A27" s="7" t="str">
        <x:v>D19</x:v>
      </x:c>
      <x:c r="B27" s="7" t="str">
        <x:v>Coordinate central pressure — ST</x:v>
      </x:c>
      <x:c r="C27" s="7" t="str">
        <x:f>IF(I27="Reject","Rejected",IF(I27="Revise","Corrections required",IF(AND(I27="Approve",D27&lt;&gt;"",E27&lt;&gt;"",ISNUMBER(F27),F27&gt;0,G27=L27,H27&lt;&gt;"",ISNUMBER(J27),J27=0,K27="Passed"),"Approval recorded","Pending")))</x:f>
        <x:v>Pending</x:v>
      </x:c>
      <x:c r="D27" s="8"/>
      <x:c r="E27" s="8"/>
      <x:c r="F27" s="9"/>
      <x:c r="G27" s="8"/>
      <x:c r="H27" s="8"/>
      <x:c r="I27" s="8" t="str">
        <x:v>Pending</x:v>
      </x:c>
      <x:c r="J27" s="8"/>
      <x:c r="K27" s="7" t="str">
        <x:f>IF(COUNTIFS('Tactical checks'!$A$9:$A$80,A27,'Tactical checks'!$J$9:$J$80,"Passed")=2,"Passed","Review needed")</x:f>
        <x:v>Review needed</x:v>
      </x:c>
      <x:c r="L27" s="7" t="str">
        <x:v>8a1f119f92bc6bb5314f39eda82e9d626b95274f28bd300fc5451ab66708c598</x:v>
      </x:c>
    </x:row>
    <x:row r="28" ht="70" customHeight="1">
      <x:c r="A28" s="7" t="str">
        <x:v>D20</x:v>
      </x:c>
      <x:c r="B28" s="7" t="str">
        <x:v>Coordinate central pressure — CM</x:v>
      </x:c>
      <x:c r="C28" s="7" t="str">
        <x:f>IF(I28="Reject","Rejected",IF(I28="Revise","Corrections required",IF(AND(I28="Approve",D28&lt;&gt;"",E28&lt;&gt;"",ISNUMBER(F28),F28&gt;0,G28=L28,H28&lt;&gt;"",ISNUMBER(J28),J28=0,K28="Passed"),"Approval recorded","Pending")))</x:f>
        <x:v>Pending</x:v>
      </x:c>
      <x:c r="D28" s="8"/>
      <x:c r="E28" s="8"/>
      <x:c r="F28" s="9"/>
      <x:c r="G28" s="8"/>
      <x:c r="H28" s="8"/>
      <x:c r="I28" s="8" t="str">
        <x:v>Pending</x:v>
      </x:c>
      <x:c r="J28" s="8"/>
      <x:c r="K28" s="7" t="str">
        <x:f>IF(COUNTIFS('Tactical checks'!$A$9:$A$80,A28,'Tactical checks'!$J$9:$J$80,"Passed")=2,"Passed","Review needed")</x:f>
        <x:v>Review needed</x:v>
      </x:c>
      <x:c r="L28" s="7" t="str">
        <x:v>6011cc16c3fe4b6aab8009ebad58b4f68b248e3b0d6a554bdc22a4f64d8badff</x:v>
      </x:c>
    </x:row>
    <x:row r="29" ht="70" customHeight="1">
      <x:c r="A29" s="7" t="str">
        <x:v>D21</x:v>
      </x:c>
      <x:c r="B29" s="7" t="str">
        <x:v>Coordinate central pressure — DM</x:v>
      </x:c>
      <x:c r="C29" s="7" t="str">
        <x:f>IF(I29="Reject","Rejected",IF(I29="Revise","Corrections required",IF(AND(I29="Approve",D29&lt;&gt;"",E29&lt;&gt;"",ISNUMBER(F29),F29&gt;0,G29=L29,H29&lt;&gt;"",ISNUMBER(J29),J29=0,K29="Passed"),"Approval recorded","Pending")))</x:f>
        <x:v>Pending</x:v>
      </x:c>
      <x:c r="D29" s="8"/>
      <x:c r="E29" s="8"/>
      <x:c r="F29" s="9"/>
      <x:c r="G29" s="8"/>
      <x:c r="H29" s="8"/>
      <x:c r="I29" s="8" t="str">
        <x:v>Pending</x:v>
      </x:c>
      <x:c r="J29" s="8"/>
      <x:c r="K29" s="7" t="str">
        <x:f>IF(COUNTIFS('Tactical checks'!$A$9:$A$80,A29,'Tactical checks'!$J$9:$J$80,"Passed")=2,"Passed","Review needed")</x:f>
        <x:v>Review needed</x:v>
      </x:c>
      <x:c r="L29" s="7" t="str">
        <x:v>69ef63f83ba7d03cf51411b141728c1f449a463e8590a9a8a1dd6e4fd70f3eea</x:v>
      </x:c>
    </x:row>
    <x:row r="30" ht="70" customHeight="1">
      <x:c r="A30" s="7" t="str">
        <x:v>D22</x:v>
      </x:c>
      <x:c r="B30" s="7" t="str">
        <x:v>Press as a front unit — LW</x:v>
      </x:c>
      <x:c r="C30" s="7" t="str">
        <x:f>IF(I30="Reject","Rejected",IF(I30="Revise","Corrections required",IF(AND(I30="Approve",D30&lt;&gt;"",E30&lt;&gt;"",ISNUMBER(F30),F30&gt;0,G30=L30,H30&lt;&gt;"",ISNUMBER(J30),J30=0,K30="Passed"),"Approval recorded","Pending")))</x:f>
        <x:v>Pending</x:v>
      </x:c>
      <x:c r="D30" s="8"/>
      <x:c r="E30" s="8"/>
      <x:c r="F30" s="9"/>
      <x:c r="G30" s="8"/>
      <x:c r="H30" s="8"/>
      <x:c r="I30" s="8" t="str">
        <x:v>Pending</x:v>
      </x:c>
      <x:c r="J30" s="8"/>
      <x:c r="K30" s="7" t="str">
        <x:f>IF(COUNTIFS('Tactical checks'!$A$9:$A$80,A30,'Tactical checks'!$J$9:$J$80,"Passed")=2,"Passed","Review needed")</x:f>
        <x:v>Review needed</x:v>
      </x:c>
      <x:c r="L30" s="7" t="str">
        <x:v>9faddb80bc22eaa5a6dddc9ab3740642275194f7e5b4a8bc3a7520e2ffb98b82</x:v>
      </x:c>
    </x:row>
    <x:row r="31" ht="70" customHeight="1">
      <x:c r="A31" s="7" t="str">
        <x:v>D23</x:v>
      </x:c>
      <x:c r="B31" s="7" t="str">
        <x:v>Press as a front unit — RW</x:v>
      </x:c>
      <x:c r="C31" s="7" t="str">
        <x:f>IF(I31="Reject","Rejected",IF(I31="Revise","Corrections required",IF(AND(I31="Approve",D31&lt;&gt;"",E31&lt;&gt;"",ISNUMBER(F31),F31&gt;0,G31=L31,H31&lt;&gt;"",ISNUMBER(J31),J31=0,K31="Passed"),"Approval recorded","Pending")))</x:f>
        <x:v>Pending</x:v>
      </x:c>
      <x:c r="D31" s="8"/>
      <x:c r="E31" s="8"/>
      <x:c r="F31" s="9"/>
      <x:c r="G31" s="8"/>
      <x:c r="H31" s="8"/>
      <x:c r="I31" s="8" t="str">
        <x:v>Pending</x:v>
      </x:c>
      <x:c r="J31" s="8"/>
      <x:c r="K31" s="7" t="str">
        <x:f>IF(COUNTIFS('Tactical checks'!$A$9:$A$80,A31,'Tactical checks'!$J$9:$J$80,"Passed")=2,"Passed","Review needed")</x:f>
        <x:v>Review needed</x:v>
      </x:c>
      <x:c r="L31" s="7" t="str">
        <x:v>2491c76bf0e13f8376b366eed131defa847d70c5a87598ff82f9981a3ecd4b56</x:v>
      </x:c>
    </x:row>
    <x:row r="32" ht="70" customHeight="1">
      <x:c r="A32" s="7" t="str">
        <x:v>D24</x:v>
      </x:c>
      <x:c r="B32" s="7" t="str">
        <x:v>Press as a front unit — ST</x:v>
      </x:c>
      <x:c r="C32" s="7" t="str">
        <x:f>IF(I32="Reject","Rejected",IF(I32="Revise","Corrections required",IF(AND(I32="Approve",D32&lt;&gt;"",E32&lt;&gt;"",ISNUMBER(F32),F32&gt;0,G32=L32,H32&lt;&gt;"",ISNUMBER(J32),J32=0,K32="Passed"),"Approval recorded","Pending")))</x:f>
        <x:v>Pending</x:v>
      </x:c>
      <x:c r="D32" s="8"/>
      <x:c r="E32" s="8"/>
      <x:c r="F32" s="9"/>
      <x:c r="G32" s="8"/>
      <x:c r="H32" s="8"/>
      <x:c r="I32" s="8" t="str">
        <x:v>Pending</x:v>
      </x:c>
      <x:c r="J32" s="8"/>
      <x:c r="K32" s="7" t="str">
        <x:f>IF(COUNTIFS('Tactical checks'!$A$9:$A$80,A32,'Tactical checks'!$J$9:$J$80,"Passed")=2,"Passed","Review needed")</x:f>
        <x:v>Review needed</x:v>
      </x:c>
      <x:c r="L32" s="7" t="str">
        <x:v>ee240bf376bc220f1c5bae9bd1ad2d339ff8dd11d77ffb5f7d6768996a360e5c</x:v>
      </x:c>
    </x:row>
    <x:row r="33" ht="70" customHeight="1">
      <x:c r="A33" s="7" t="str">
        <x:v>D25</x:v>
      </x:c>
      <x:c r="B33" s="7" t="str">
        <x:v>Pressure and cover — LB</x:v>
      </x:c>
      <x:c r="C33" s="7" t="str">
        <x:f>IF(I33="Reject","Rejected",IF(I33="Revise","Corrections required",IF(AND(I33="Approve",D33&lt;&gt;"",E33&lt;&gt;"",ISNUMBER(F33),F33&gt;0,G33=L33,H33&lt;&gt;"",ISNUMBER(J33),J33=0,K33="Passed"),"Approval recorded","Pending")))</x:f>
        <x:v>Pending</x:v>
      </x:c>
      <x:c r="D33" s="8"/>
      <x:c r="E33" s="8"/>
      <x:c r="F33" s="9"/>
      <x:c r="G33" s="8"/>
      <x:c r="H33" s="8"/>
      <x:c r="I33" s="8" t="str">
        <x:v>Pending</x:v>
      </x:c>
      <x:c r="J33" s="8"/>
      <x:c r="K33" s="7" t="str">
        <x:f>IF(COUNTIFS('Tactical checks'!$A$9:$A$80,A33,'Tactical checks'!$J$9:$J$80,"Passed")=2,"Passed","Review needed")</x:f>
        <x:v>Review needed</x:v>
      </x:c>
      <x:c r="L33" s="7" t="str">
        <x:v>0b900084a31692c25ea1d269c3b6a5f4eac3eed22d2559112f1269552f65dfb8</x:v>
      </x:c>
    </x:row>
    <x:row r="34" ht="70" customHeight="1">
      <x:c r="A34" s="7" t="str">
        <x:v>D26</x:v>
      </x:c>
      <x:c r="B34" s="7" t="str">
        <x:v>Pressure and cover — CB</x:v>
      </x:c>
      <x:c r="C34" s="7" t="str">
        <x:f>IF(I34="Reject","Rejected",IF(I34="Revise","Corrections required",IF(AND(I34="Approve",D34&lt;&gt;"",E34&lt;&gt;"",ISNUMBER(F34),F34&gt;0,G34=L34,H34&lt;&gt;"",ISNUMBER(J34),J34=0,K34="Passed"),"Approval recorded","Pending")))</x:f>
        <x:v>Pending</x:v>
      </x:c>
      <x:c r="D34" s="8"/>
      <x:c r="E34" s="8"/>
      <x:c r="F34" s="9"/>
      <x:c r="G34" s="8"/>
      <x:c r="H34" s="8"/>
      <x:c r="I34" s="8" t="str">
        <x:v>Pending</x:v>
      </x:c>
      <x:c r="J34" s="8"/>
      <x:c r="K34" s="7" t="str">
        <x:f>IF(COUNTIFS('Tactical checks'!$A$9:$A$80,A34,'Tactical checks'!$J$9:$J$80,"Passed")=2,"Passed","Review needed")</x:f>
        <x:v>Review needed</x:v>
      </x:c>
      <x:c r="L34" s="7" t="str">
        <x:v>fda5c3bba10b72a8c70e5dddfe7e5bfcc69c8178bf106c8c18adeb5996aaeaef</x:v>
      </x:c>
    </x:row>
    <x:row r="35" ht="70" customHeight="1">
      <x:c r="A35" s="7" t="str">
        <x:v>D27</x:v>
      </x:c>
      <x:c r="B35" s="7" t="str">
        <x:v>Pressure and cover — RB</x:v>
      </x:c>
      <x:c r="C35" s="7" t="str">
        <x:f>IF(I35="Reject","Rejected",IF(I35="Revise","Corrections required",IF(AND(I35="Approve",D35&lt;&gt;"",E35&lt;&gt;"",ISNUMBER(F35),F35&gt;0,G35=L35,H35&lt;&gt;"",ISNUMBER(J35),J35=0,K35="Passed"),"Approval recorded","Pending")))</x:f>
        <x:v>Pending</x:v>
      </x:c>
      <x:c r="D35" s="8"/>
      <x:c r="E35" s="8"/>
      <x:c r="F35" s="9"/>
      <x:c r="G35" s="8"/>
      <x:c r="H35" s="8"/>
      <x:c r="I35" s="8" t="str">
        <x:v>Pending</x:v>
      </x:c>
      <x:c r="J35" s="8"/>
      <x:c r="K35" s="7" t="str">
        <x:f>IF(COUNTIFS('Tactical checks'!$A$9:$A$80,A35,'Tactical checks'!$J$9:$J$80,"Passed")=2,"Passed","Review needed")</x:f>
        <x:v>Review needed</x:v>
      </x:c>
      <x:c r="L35" s="7" t="str">
        <x:v>a2b5938816b2ee498b65768ff4d02148b70c4fbc24fea0d0f4130fb0b42ea54f</x:v>
      </x:c>
    </x:row>
    <x:row r="36" ht="70" customHeight="1">
      <x:c r="A36" s="7" t="str">
        <x:v>D28</x:v>
      </x:c>
      <x:c r="B36" s="7" t="str">
        <x:v>Keep a connected block — DM</x:v>
      </x:c>
      <x:c r="C36" s="7" t="str">
        <x:f>IF(I36="Reject","Rejected",IF(I36="Revise","Corrections required",IF(AND(I36="Approve",D36&lt;&gt;"",E36&lt;&gt;"",ISNUMBER(F36),F36&gt;0,G36=L36,H36&lt;&gt;"",ISNUMBER(J36),J36=0,K36="Passed"),"Approval recorded","Pending")))</x:f>
        <x:v>Pending</x:v>
      </x:c>
      <x:c r="D36" s="8"/>
      <x:c r="E36" s="8"/>
      <x:c r="F36" s="9"/>
      <x:c r="G36" s="8"/>
      <x:c r="H36" s="8"/>
      <x:c r="I36" s="8" t="str">
        <x:v>Pending</x:v>
      </x:c>
      <x:c r="J36" s="8"/>
      <x:c r="K36" s="7" t="str">
        <x:f>IF(COUNTIFS('Tactical checks'!$A$9:$A$80,A36,'Tactical checks'!$J$9:$J$80,"Passed")=2,"Passed","Review needed")</x:f>
        <x:v>Review needed</x:v>
      </x:c>
      <x:c r="L36" s="7" t="str">
        <x:v>08e9e2a1af4b5103d8d64f86324ae7636990b22773e0d938a9592d5ffb1e24b3</x:v>
      </x:c>
    </x:row>
    <x:row r="37" ht="70" customHeight="1">
      <x:c r="A37" s="7" t="str">
        <x:v>D29</x:v>
      </x:c>
      <x:c r="B37" s="7" t="str">
        <x:v>Keep a connected block — CB</x:v>
      </x:c>
      <x:c r="C37" s="7" t="str">
        <x:f>IF(I37="Reject","Rejected",IF(I37="Revise","Corrections required",IF(AND(I37="Approve",D37&lt;&gt;"",E37&lt;&gt;"",ISNUMBER(F37),F37&gt;0,G37=L37,H37&lt;&gt;"",ISNUMBER(J37),J37=0,K37="Passed"),"Approval recorded","Pending")))</x:f>
        <x:v>Pending</x:v>
      </x:c>
      <x:c r="D37" s="8"/>
      <x:c r="E37" s="8"/>
      <x:c r="F37" s="9"/>
      <x:c r="G37" s="8"/>
      <x:c r="H37" s="8"/>
      <x:c r="I37" s="8" t="str">
        <x:v>Pending</x:v>
      </x:c>
      <x:c r="J37" s="8"/>
      <x:c r="K37" s="7" t="str">
        <x:f>IF(COUNTIFS('Tactical checks'!$A$9:$A$80,A37,'Tactical checks'!$J$9:$J$80,"Passed")=2,"Passed","Review needed")</x:f>
        <x:v>Review needed</x:v>
      </x:c>
      <x:c r="L37" s="7" t="str">
        <x:v>75397bb7e1e3e20e1625fa336e4eaea7c6306cc30eeb35ae747a391a361219ee</x:v>
      </x:c>
    </x:row>
    <x:row r="38" ht="70" customHeight="1">
      <x:c r="A38" s="7" t="str">
        <x:v>D30</x:v>
      </x:c>
      <x:c r="B38" s="7" t="str">
        <x:v>Keep a connected block — CM</x:v>
      </x:c>
      <x:c r="C38" s="7" t="str">
        <x:f>IF(I38="Reject","Rejected",IF(I38="Revise","Corrections required",IF(AND(I38="Approve",D38&lt;&gt;"",E38&lt;&gt;"",ISNUMBER(F38),F38&gt;0,G38=L38,H38&lt;&gt;"",ISNUMBER(J38),J38=0,K38="Passed"),"Approval recorded","Pending")))</x:f>
        <x:v>Pending</x:v>
      </x:c>
      <x:c r="D38" s="8"/>
      <x:c r="E38" s="8"/>
      <x:c r="F38" s="9"/>
      <x:c r="G38" s="8"/>
      <x:c r="H38" s="8"/>
      <x:c r="I38" s="8" t="str">
        <x:v>Pending</x:v>
      </x:c>
      <x:c r="J38" s="8"/>
      <x:c r="K38" s="7" t="str">
        <x:f>IF(COUNTIFS('Tactical checks'!$A$9:$A$80,A38,'Tactical checks'!$J$9:$J$80,"Passed")=2,"Passed","Review needed")</x:f>
        <x:v>Review needed</x:v>
      </x:c>
      <x:c r="L38" s="7" t="str">
        <x:v>26175c2f57243ceeca36e2d90148922b569372dccf13a0d7cbc3427e4abf0163</x:v>
      </x:c>
    </x:row>
    <x:row r="39" ht="70" customHeight="1">
      <x:c r="A39" s="7" t="str">
        <x:v>D31</x:v>
      </x:c>
      <x:c r="B39" s="7" t="str">
        <x:v>Defend the inside route — RB</x:v>
      </x:c>
      <x:c r="C39" s="7" t="str">
        <x:f>IF(I39="Reject","Rejected",IF(I39="Revise","Corrections required",IF(AND(I39="Approve",D39&lt;&gt;"",E39&lt;&gt;"",ISNUMBER(F39),F39&gt;0,G39=L39,H39&lt;&gt;"",ISNUMBER(J39),J39=0,K39="Passed"),"Approval recorded","Pending")))</x:f>
        <x:v>Pending</x:v>
      </x:c>
      <x:c r="D39" s="8"/>
      <x:c r="E39" s="8"/>
      <x:c r="F39" s="9"/>
      <x:c r="G39" s="8"/>
      <x:c r="H39" s="8"/>
      <x:c r="I39" s="8" t="str">
        <x:v>Pending</x:v>
      </x:c>
      <x:c r="J39" s="8"/>
      <x:c r="K39" s="7" t="str">
        <x:f>IF(COUNTIFS('Tactical checks'!$A$9:$A$80,A39,'Tactical checks'!$J$9:$J$80,"Passed")=2,"Passed","Review needed")</x:f>
        <x:v>Review needed</x:v>
      </x:c>
      <x:c r="L39" s="7" t="str">
        <x:v>230ce51079cdcd571ff5e47878c2a13f31ba39193608e80f2b9ac83cec50bd5e</x:v>
      </x:c>
    </x:row>
    <x:row r="40" ht="70" customHeight="1">
      <x:c r="A40" s="7" t="str">
        <x:v>D32</x:v>
      </x:c>
      <x:c r="B40" s="7" t="str">
        <x:v>Defend the inside route — LB</x:v>
      </x:c>
      <x:c r="C40" s="7" t="str">
        <x:f>IF(I40="Reject","Rejected",IF(I40="Revise","Corrections required",IF(AND(I40="Approve",D40&lt;&gt;"",E40&lt;&gt;"",ISNUMBER(F40),F40&gt;0,G40=L40,H40&lt;&gt;"",ISNUMBER(J40),J40=0,K40="Passed"),"Approval recorded","Pending")))</x:f>
        <x:v>Pending</x:v>
      </x:c>
      <x:c r="D40" s="8"/>
      <x:c r="E40" s="8"/>
      <x:c r="F40" s="9"/>
      <x:c r="G40" s="8"/>
      <x:c r="H40" s="8"/>
      <x:c r="I40" s="8" t="str">
        <x:v>Pending</x:v>
      </x:c>
      <x:c r="J40" s="8"/>
      <x:c r="K40" s="7" t="str">
        <x:f>IF(COUNTIFS('Tactical checks'!$A$9:$A$80,A40,'Tactical checks'!$J$9:$J$80,"Passed")=2,"Passed","Review needed")</x:f>
        <x:v>Review needed</x:v>
      </x:c>
      <x:c r="L40" s="7" t="str">
        <x:v>0839d9c6e9a1c2c388793f9ecbc2513cfd309b4350f22b15d9b72517c2c5b54b</x:v>
      </x:c>
    </x:row>
    <x:row r="41" ht="70" customHeight="1">
      <x:c r="A41" s="7" t="str">
        <x:v>D33</x:v>
      </x:c>
      <x:c r="B41" s="7" t="str">
        <x:v>Defend the inside route — CB</x:v>
      </x:c>
      <x:c r="C41" s="7" t="str">
        <x:f>IF(I41="Reject","Rejected",IF(I41="Revise","Corrections required",IF(AND(I41="Approve",D41&lt;&gt;"",E41&lt;&gt;"",ISNUMBER(F41),F41&gt;0,G41=L41,H41&lt;&gt;"",ISNUMBER(J41),J41=0,K41="Passed"),"Approval recorded","Pending")))</x:f>
        <x:v>Pending</x:v>
      </x:c>
      <x:c r="D41" s="8"/>
      <x:c r="E41" s="8"/>
      <x:c r="F41" s="9"/>
      <x:c r="G41" s="8"/>
      <x:c r="H41" s="8"/>
      <x:c r="I41" s="8" t="str">
        <x:v>Pending</x:v>
      </x:c>
      <x:c r="J41" s="8"/>
      <x:c r="K41" s="7" t="str">
        <x:f>IF(COUNTIFS('Tactical checks'!$A$9:$A$80,A41,'Tactical checks'!$J$9:$J$80,"Passed")=2,"Passed","Review needed")</x:f>
        <x:v>Review needed</x:v>
      </x:c>
      <x:c r="L41" s="7" t="str">
        <x:v>a0a030cc3ce3812ef89c398a7413d7843b7ca792bd323c461ba067e7ab5b5210</x:v>
      </x:c>
    </x:row>
    <x:row r="42" ht="70" customHeight="1">
      <x:c r="A42" s="7" t="str">
        <x:v>D34</x:v>
      </x:c>
      <x:c r="B42" s="7" t="str">
        <x:v>Defend a wide delivery — CB</x:v>
      </x:c>
      <x:c r="C42" s="7" t="str">
        <x:f>IF(I42="Reject","Rejected",IF(I42="Revise","Corrections required",IF(AND(I42="Approve",D42&lt;&gt;"",E42&lt;&gt;"",ISNUMBER(F42),F42&gt;0,G42=L42,H42&lt;&gt;"",ISNUMBER(J42),J42=0,K42="Passed"),"Approval recorded","Pending")))</x:f>
        <x:v>Pending</x:v>
      </x:c>
      <x:c r="D42" s="8"/>
      <x:c r="E42" s="8"/>
      <x:c r="F42" s="9"/>
      <x:c r="G42" s="8"/>
      <x:c r="H42" s="8"/>
      <x:c r="I42" s="8" t="str">
        <x:v>Pending</x:v>
      </x:c>
      <x:c r="J42" s="8"/>
      <x:c r="K42" s="7" t="str">
        <x:f>IF(COUNTIFS('Tactical checks'!$A$9:$A$80,A42,'Tactical checks'!$J$9:$J$80,"Passed")=2,"Passed","Review needed")</x:f>
        <x:v>Review needed</x:v>
      </x:c>
      <x:c r="L42" s="7" t="str">
        <x:v>f4ea2ea2e5c57d41853f388f25fdc267f327e3c1eca74a68443065deb8dedeb6</x:v>
      </x:c>
    </x:row>
    <x:row r="43" ht="70" customHeight="1">
      <x:c r="A43" s="7" t="str">
        <x:v>D35</x:v>
      </x:c>
      <x:c r="B43" s="7" t="str">
        <x:v>Defend a wide delivery — DM</x:v>
      </x:c>
      <x:c r="C43" s="7" t="str">
        <x:f>IF(I43="Reject","Rejected",IF(I43="Revise","Corrections required",IF(AND(I43="Approve",D43&lt;&gt;"",E43&lt;&gt;"",ISNUMBER(F43),F43&gt;0,G43=L43,H43&lt;&gt;"",ISNUMBER(J43),J43=0,K43="Passed"),"Approval recorded","Pending")))</x:f>
        <x:v>Pending</x:v>
      </x:c>
      <x:c r="D43" s="8"/>
      <x:c r="E43" s="8"/>
      <x:c r="F43" s="9"/>
      <x:c r="G43" s="8"/>
      <x:c r="H43" s="8"/>
      <x:c r="I43" s="8" t="str">
        <x:v>Pending</x:v>
      </x:c>
      <x:c r="J43" s="8"/>
      <x:c r="K43" s="7" t="str">
        <x:f>IF(COUNTIFS('Tactical checks'!$A$9:$A$80,A43,'Tactical checks'!$J$9:$J$80,"Passed")=2,"Passed","Review needed")</x:f>
        <x:v>Review needed</x:v>
      </x:c>
      <x:c r="L43" s="7" t="str">
        <x:v>5fd2ece80533829d69606057d8ec181106d5103b13909e4b13453e7132193584</x:v>
      </x:c>
    </x:row>
    <x:row r="44" ht="70" customHeight="1">
      <x:c r="A44" s="7" t="str">
        <x:v>D36</x:v>
      </x:c>
      <x:c r="B44" s="7" t="str">
        <x:v>Defend a wide delivery — RB</x:v>
      </x:c>
      <x:c r="C44" s="7" t="str">
        <x:f>IF(I44="Reject","Rejected",IF(I44="Revise","Corrections required",IF(AND(I44="Approve",D44&lt;&gt;"",E44&lt;&gt;"",ISNUMBER(F44),F44&gt;0,G44=L44,H44&lt;&gt;"",ISNUMBER(J44),J44=0,K44="Passed"),"Approval recorded","Pending")))</x:f>
        <x:v>Pending</x:v>
      </x:c>
      <x:c r="D44" s="8"/>
      <x:c r="E44" s="8"/>
      <x:c r="F44" s="9"/>
      <x:c r="G44" s="8"/>
      <x:c r="H44" s="8"/>
      <x:c r="I44" s="8" t="str">
        <x:v>Pending</x:v>
      </x:c>
      <x:c r="J44" s="8"/>
      <x:c r="K44" s="7" t="str">
        <x:f>IF(COUNTIFS('Tactical checks'!$A$9:$A$80,A44,'Tactical checks'!$J$9:$J$80,"Passed")=2,"Passed","Review needed")</x:f>
        <x:v>Review needed</x:v>
      </x:c>
      <x:c r="L44" s="7" t="str">
        <x:v>1c015b225e771f0a438c754f0f2aa9510840c40823da2ba59dc8d9d738c39ad9</x:v>
      </x:c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</x:sheetData>
  <x:dataValidations count="2">
    <x:dataValidation type="list" sqref="I9:I44">
      <x:formula1>"Pending,Approve,Revise,Reject"</x:formula1>
    </x:dataValidation>
    <x:dataValidation type="whole" operator="greaterThanOrEqual" sqref="J9:J44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9a418bfbcd41c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10" hidden="0" customWidth="1"/>
    <x:col min="2" max="2" width="13" hidden="0" customWidth="1"/>
    <x:col min="3" max="3" width="4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22" hidden="0" customWidth="1"/>
    <x:col min="11" max="11" width="55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2" t="str">
        <x:v>Tactical review checklist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" t="str">
        <x:v>Pass each check only after reviewing the source, all choices and both protagonist previews.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>
      <x:c r="A5" s="1" t="str">
        <x:v>Check offside at pass contact, cover, pressure, viable alternatives, omitted-player threats and whether pause is safe.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>
      <x:c r="A6" s="1" t="str">
        <x:v>Any change to answers, cues, art or positions requires a new reviewed version and renewed sign-off.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</x:row>
    <x:row r="8" ht="44" customHeight="1">
      <x:c r="A8" s="5" t="str">
        <x:v>ID</x:v>
      </x:c>
      <x:c r="B8" s="5" t="str">
        <x:v>Variant</x:v>
      </x:c>
      <x:c r="C8" s="5" t="str">
        <x:v>Visible cues</x:v>
      </x:c>
      <x:c r="D8" s="5" t="str">
        <x:v>9v9 / age fit</x:v>
      </x:c>
      <x:c r="E8" s="5" t="str">
        <x:v>Positions / threats</x:v>
      </x:c>
      <x:c r="F8" s="5" t="str">
        <x:v>All answer grades</x:v>
      </x:c>
      <x:c r="G8" s="5" t="str">
        <x:v>Coach feedback</x:v>
      </x:c>
      <x:c r="H8" s="5" t="str">
        <x:v>Preview accuracy</x:v>
      </x:c>
      <x:c r="I8" s="5" t="str">
        <x:v>Source adaptation</x:v>
      </x:c>
      <x:c r="J8" s="5" t="str">
        <x:v>Variant status</x:v>
      </x:c>
      <x:c r="K8" s="5" t="str">
        <x:v>Corrections / alternative answers</x:v>
      </x:c>
      <x:c r="L8" s="5" t="str">
        <x:v>Boy decision</x:v>
      </x:c>
      <x:c r="M8" s="5" t="str">
        <x:v>Boy consequence</x:v>
      </x:c>
      <x:c r="N8" s="5" t="str">
        <x:v>Girl decision</x:v>
      </x:c>
      <x:c r="O8" s="5" t="str">
        <x:v>Girl consequence</x:v>
      </x:c>
    </x:row>
    <x:row r="9" ht="70" customHeight="1">
      <x:c r="A9" s="7" t="str">
        <x:v>D01</x:v>
      </x:c>
      <x:c r="B9" s="7" t="str">
        <x:v>base</x:v>
      </x:c>
      <x:c r="C9" s="7" t="str">
        <x:v>Defender commits to you; wide pass is clear.
Identify pressure, support and the next threat before selecting.</x:v>
      </x:c>
      <x:c r="D9" s="8" t="str">
        <x:v>Pending</x:v>
      </x:c>
      <x:c r="E9" s="8" t="str">
        <x:v>Pending</x:v>
      </x:c>
      <x:c r="F9" s="8" t="str">
        <x:v>Pending</x:v>
      </x:c>
      <x:c r="G9" s="8" t="str">
        <x:v>Pending</x:v>
      </x:c>
      <x:c r="H9" s="8" t="str">
        <x:v>Pending</x:v>
      </x:c>
      <x:c r="I9" s="8" t="str">
        <x:v>Pending</x:v>
      </x:c>
      <x:c r="J9" s="7" t="str">
        <x:f>IF(COUNTIFS(D9:I9,"Pass")=6,"Passed","Review needed")</x:f>
        <x:v>Review needed</x:v>
      </x:c>
      <x:c r="K9" s="8" t="str"/>
      <x:c r="L9" s="7" t="e">
        <x:f>HYPERLINK("previews/D01_base_boy_decision.svg","Open preview")</x:f>
        <x:v>HYPERLINK is not implemented. linkLocation=previews/D01_base_boy_decision.svg, friendlyName=Open preview</x:v>
      </x:c>
      <x:c r="M9" s="7" t="e">
        <x:f>HYPERLINK("previews/D01_base_boy_consequence.svg","Open preview")</x:f>
        <x:v>HYPERLINK is not implemented. linkLocation=previews/D01_base_boy_consequence.svg, friendlyName=Open preview</x:v>
      </x:c>
      <x:c r="N9" s="7" t="e">
        <x:f>HYPERLINK("previews/D01_base_girl_decision.svg","Open preview")</x:f>
        <x:v>HYPERLINK is not implemented. linkLocation=previews/D01_base_girl_decision.svg, friendlyName=Open preview</x:v>
      </x:c>
      <x:c r="O9" s="7" t="e">
        <x:f>HYPERLINK("previews/D01_base_girl_consequence.svg","Open preview")</x:f>
        <x:v>HYPERLINK is not implemented. linkLocation=previews/D01_base_girl_consequence.svg, friendlyName=Open preview</x:v>
      </x:c>
    </x:row>
    <x:row r="10" ht="70" customHeight="1">
      <x:c r="A10" s="7" t="str">
        <x:v>D01</x:v>
      </x:c>
      <x:c r="B10" s="7" t="str">
        <x:v>changed</x:v>
      </x:c>
      <x:c r="C10" s="7" t="str">
        <x:v>The presser shifts across the LB passing lane; central carrying space opens.
Identify pressure, support and the next threat before selecting.</x:v>
      </x:c>
      <x:c r="D10" s="8" t="str">
        <x:v>Pending</x:v>
      </x:c>
      <x:c r="E10" s="8" t="str">
        <x:v>Pending</x:v>
      </x:c>
      <x:c r="F10" s="8" t="str">
        <x:v>Pending</x:v>
      </x:c>
      <x:c r="G10" s="8" t="str">
        <x:v>Pending</x:v>
      </x:c>
      <x:c r="H10" s="8" t="str">
        <x:v>Pending</x:v>
      </x:c>
      <x:c r="I10" s="8" t="str">
        <x:v>Pending</x:v>
      </x:c>
      <x:c r="J10" s="7" t="str">
        <x:f>IF(COUNTIFS(D10:I10,"Pass")=6,"Passed","Review needed")</x:f>
        <x:v>Review needed</x:v>
      </x:c>
      <x:c r="K10" s="8" t="str"/>
      <x:c r="L10" s="7" t="e">
        <x:f>HYPERLINK("previews/D01_changed_boy_decision.svg","Open preview")</x:f>
        <x:v>HYPERLINK is not implemented. linkLocation=previews/D01_changed_boy_decision.svg, friendlyName=Open preview</x:v>
      </x:c>
      <x:c r="M10" s="7" t="e">
        <x:f>HYPERLINK("previews/D01_changed_boy_consequence.svg","Open preview")</x:f>
        <x:v>HYPERLINK is not implemented. linkLocation=previews/D01_changed_boy_consequence.svg, friendlyName=Open preview</x:v>
      </x:c>
      <x:c r="N10" s="7" t="e">
        <x:f>HYPERLINK("previews/D01_changed_girl_decision.svg","Open preview")</x:f>
        <x:v>HYPERLINK is not implemented. linkLocation=previews/D01_changed_girl_decision.svg, friendlyName=Open preview</x:v>
      </x:c>
      <x:c r="O10" s="7" t="e">
        <x:f>HYPERLINK("previews/D01_changed_girl_consequence.svg","Open preview")</x:f>
        <x:v>HYPERLINK is not implemented. linkLocation=previews/D01_changed_girl_consequence.svg, friendlyName=Open preview</x:v>
      </x:c>
    </x:row>
    <x:row r="11" ht="70" customHeight="1">
      <x:c r="A11" s="7" t="str">
        <x:v>D02</x:v>
      </x:c>
      <x:c r="B11" s="7" t="str">
        <x:v>base</x:v>
      </x:c>
      <x:c r="C11" s="7" t="str">
        <x:v>CB has controlled possession; you are hidden behind presser.
Identify pressure, support and the next threat before selecting.</x:v>
      </x:c>
      <x:c r="D11" s="8" t="str">
        <x:v>Pending</x:v>
      </x:c>
      <x:c r="E11" s="8" t="str">
        <x:v>Pending</x:v>
      </x:c>
      <x:c r="F11" s="8" t="str">
        <x:v>Pending</x:v>
      </x:c>
      <x:c r="G11" s="8" t="str">
        <x:v>Pending</x:v>
      </x:c>
      <x:c r="H11" s="8" t="str">
        <x:v>Pending</x:v>
      </x:c>
      <x:c r="I11" s="8" t="str">
        <x:v>Pending</x:v>
      </x:c>
      <x:c r="J11" s="7" t="str">
        <x:f>IF(COUNTIFS(D11:I11,"Pass")=6,"Passed","Review needed")</x:f>
        <x:v>Review needed</x:v>
      </x:c>
      <x:c r="K11" s="8" t="str"/>
      <x:c r="L11" s="7" t="e">
        <x:f>HYPERLINK("previews/D02_base_boy_decision.svg","Open preview")</x:f>
        <x:v>HYPERLINK is not implemented. linkLocation=previews/D02_base_boy_decision.svg, friendlyName=Open preview</x:v>
      </x:c>
      <x:c r="M11" s="7" t="e">
        <x:f>HYPERLINK("previews/D02_base_boy_consequence.svg","Open preview")</x:f>
        <x:v>HYPERLINK is not implemented. linkLocation=previews/D02_base_boy_consequence.svg, friendlyName=Open preview</x:v>
      </x:c>
      <x:c r="N11" s="7" t="e">
        <x:f>HYPERLINK("previews/D02_base_girl_decision.svg","Open preview")</x:f>
        <x:v>HYPERLINK is not implemented. linkLocation=previews/D02_base_girl_decision.svg, friendlyName=Open preview</x:v>
      </x:c>
      <x:c r="O11" s="7" t="e">
        <x:f>HYPERLINK("previews/D02_base_girl_consequence.svg","Open preview")</x:f>
        <x:v>HYPERLINK is not implemented. linkLocation=previews/D02_base_girl_consequence.svg, friendlyName=Open preview</x:v>
      </x:c>
    </x:row>
    <x:row r="12" ht="70" customHeight="1">
      <x:c r="A12" s="7" t="str">
        <x:v>D02</x:v>
      </x:c>
      <x:c r="B12" s="7" t="str">
        <x:v>changed</x:v>
      </x:c>
      <x:c r="C12" s="7" t="str">
        <x:v>Pressure reaches CB; a nearer support angle is more urgent than maximum width.
Identify pressure, support and the next threat before selecting.</x:v>
      </x:c>
      <x:c r="D12" s="8" t="str">
        <x:v>Pending</x:v>
      </x:c>
      <x:c r="E12" s="8" t="str">
        <x:v>Pending</x:v>
      </x:c>
      <x:c r="F12" s="8" t="str">
        <x:v>Pending</x:v>
      </x:c>
      <x:c r="G12" s="8" t="str">
        <x:v>Pending</x:v>
      </x:c>
      <x:c r="H12" s="8" t="str">
        <x:v>Pending</x:v>
      </x:c>
      <x:c r="I12" s="8" t="str">
        <x:v>Pending</x:v>
      </x:c>
      <x:c r="J12" s="7" t="str">
        <x:f>IF(COUNTIFS(D12:I12,"Pass")=6,"Passed","Review needed")</x:f>
        <x:v>Review needed</x:v>
      </x:c>
      <x:c r="K12" s="8" t="str"/>
      <x:c r="L12" s="7" t="e">
        <x:f>HYPERLINK("previews/D02_changed_boy_decision.svg","Open preview")</x:f>
        <x:v>HYPERLINK is not implemented. linkLocation=previews/D02_changed_boy_decision.svg, friendlyName=Open preview</x:v>
      </x:c>
      <x:c r="M12" s="7" t="e">
        <x:f>HYPERLINK("previews/D02_changed_boy_consequence.svg","Open preview")</x:f>
        <x:v>HYPERLINK is not implemented. linkLocation=previews/D02_changed_boy_consequence.svg, friendlyName=Open preview</x:v>
      </x:c>
      <x:c r="N12" s="7" t="e">
        <x:f>HYPERLINK("previews/D02_changed_girl_decision.svg","Open preview")</x:f>
        <x:v>HYPERLINK is not implemented. linkLocation=previews/D02_changed_girl_decision.svg, friendlyName=Open preview</x:v>
      </x:c>
      <x:c r="O12" s="7" t="e">
        <x:f>HYPERLINK("previews/D02_changed_girl_consequence.svg","Open preview")</x:f>
        <x:v>HYPERLINK is not implemented. linkLocation=previews/D02_changed_girl_consequence.svg, friendlyName=Open preview</x:v>
      </x:c>
    </x:row>
    <x:row r="13" ht="70" customHeight="1">
      <x:c r="A13" s="7" t="str">
        <x:v>D03</x:v>
      </x:c>
      <x:c r="B13" s="7" t="str">
        <x:v>base</x:v>
      </x:c>
      <x:c r="C13" s="7" t="str">
        <x:v>Receiver can face forward; next defender stays deep.
Identify pressure, support and the next threat before selecting.</x:v>
      </x:c>
      <x:c r="D13" s="8" t="str">
        <x:v>Pending</x:v>
      </x:c>
      <x:c r="E13" s="8" t="str">
        <x:v>Pending</x:v>
      </x:c>
      <x:c r="F13" s="8" t="str">
        <x:v>Pending</x:v>
      </x:c>
      <x:c r="G13" s="8" t="str">
        <x:v>Pending</x:v>
      </x:c>
      <x:c r="H13" s="8" t="str">
        <x:v>Pending</x:v>
      </x:c>
      <x:c r="I13" s="8" t="str">
        <x:v>Pending</x:v>
      </x:c>
      <x:c r="J13" s="7" t="str">
        <x:f>IF(COUNTIFS(D13:I13,"Pass")=6,"Passed","Review needed")</x:f>
        <x:v>Review needed</x:v>
      </x:c>
      <x:c r="K13" s="8" t="str"/>
      <x:c r="L13" s="7" t="e">
        <x:f>HYPERLINK("previews/D03_base_boy_decision.svg","Open preview")</x:f>
        <x:v>HYPERLINK is not implemented. linkLocation=previews/D03_base_boy_decision.svg, friendlyName=Open preview</x:v>
      </x:c>
      <x:c r="M13" s="7" t="e">
        <x:f>HYPERLINK("previews/D03_base_boy_consequence.svg","Open preview")</x:f>
        <x:v>HYPERLINK is not implemented. linkLocation=previews/D03_base_boy_consequence.svg, friendlyName=Open preview</x:v>
      </x:c>
      <x:c r="N13" s="7" t="e">
        <x:f>HYPERLINK("previews/D03_base_girl_decision.svg","Open preview")</x:f>
        <x:v>HYPERLINK is not implemented. linkLocation=previews/D03_base_girl_decision.svg, friendlyName=Open preview</x:v>
      </x:c>
      <x:c r="O13" s="7" t="e">
        <x:f>HYPERLINK("previews/D03_base_girl_consequence.svg","Open preview")</x:f>
        <x:v>HYPERLINK is not implemented. linkLocation=previews/D03_base_girl_consequence.svg, friendlyName=Open preview</x:v>
      </x:c>
    </x:row>
    <x:row r="14" ht="70" customHeight="1">
      <x:c r="A14" s="7" t="str">
        <x:v>D03</x:v>
      </x:c>
      <x:c r="B14" s="7" t="str">
        <x:v>changed</x:v>
      </x:c>
      <x:c r="C14" s="7" t="str">
        <x:v>The receiver is now pressed tightly; offer a secure route beneath the ball.
Identify pressure, support and the next threat before selecting.</x:v>
      </x:c>
      <x:c r="D14" s="8" t="str">
        <x:v>Pending</x:v>
      </x:c>
      <x:c r="E14" s="8" t="str">
        <x:v>Pending</x:v>
      </x:c>
      <x:c r="F14" s="8" t="str">
        <x:v>Pending</x:v>
      </x:c>
      <x:c r="G14" s="8" t="str">
        <x:v>Pending</x:v>
      </x:c>
      <x:c r="H14" s="8" t="str">
        <x:v>Pending</x:v>
      </x:c>
      <x:c r="I14" s="8" t="str">
        <x:v>Pending</x:v>
      </x:c>
      <x:c r="J14" s="7" t="str">
        <x:f>IF(COUNTIFS(D14:I14,"Pass")=6,"Passed","Review needed")</x:f>
        <x:v>Review needed</x:v>
      </x:c>
      <x:c r="K14" s="8" t="str"/>
      <x:c r="L14" s="7" t="e">
        <x:f>HYPERLINK("previews/D03_changed_boy_decision.svg","Open preview")</x:f>
        <x:v>HYPERLINK is not implemented. linkLocation=previews/D03_changed_boy_decision.svg, friendlyName=Open preview</x:v>
      </x:c>
      <x:c r="M14" s="7" t="e">
        <x:f>HYPERLINK("previews/D03_changed_boy_consequence.svg","Open preview")</x:f>
        <x:v>HYPERLINK is not implemented. linkLocation=previews/D03_changed_boy_consequence.svg, friendlyName=Open preview</x:v>
      </x:c>
      <x:c r="N14" s="7" t="e">
        <x:f>HYPERLINK("previews/D03_changed_girl_decision.svg","Open preview")</x:f>
        <x:v>HYPERLINK is not implemented. linkLocation=previews/D03_changed_girl_decision.svg, friendlyName=Open preview</x:v>
      </x:c>
      <x:c r="O14" s="7" t="e">
        <x:f>HYPERLINK("previews/D03_changed_girl_consequence.svg","Open preview")</x:f>
        <x:v>HYPERLINK is not implemented. linkLocation=previews/D03_changed_girl_consequence.svg, friendlyName=Open preview</x:v>
      </x:c>
    </x:row>
    <x:row r="15" ht="70" customHeight="1">
      <x:c r="A15" s="7" t="str">
        <x:v>D04</x:v>
      </x:c>
      <x:c r="B15" s="7" t="str">
        <x:v>base</x:v>
      </x:c>
      <x:c r="C15" s="7" t="str">
        <x:v>Forward lane is screened; GK return is clear.
Identify pressure, support and the next threat before selecting.</x:v>
      </x:c>
      <x:c r="D15" s="8" t="str">
        <x:v>Pending</x:v>
      </x:c>
      <x:c r="E15" s="8" t="str">
        <x:v>Pending</x:v>
      </x:c>
      <x:c r="F15" s="8" t="str">
        <x:v>Pending</x:v>
      </x:c>
      <x:c r="G15" s="8" t="str">
        <x:v>Pending</x:v>
      </x:c>
      <x:c r="H15" s="8" t="str">
        <x:v>Pending</x:v>
      </x:c>
      <x:c r="I15" s="8" t="str">
        <x:v>Pending</x:v>
      </x:c>
      <x:c r="J15" s="7" t="str">
        <x:f>IF(COUNTIFS(D15:I15,"Pass")=6,"Passed","Review needed")</x:f>
        <x:v>Review needed</x:v>
      </x:c>
      <x:c r="K15" s="8" t="str"/>
      <x:c r="L15" s="7" t="e">
        <x:f>HYPERLINK("previews/D04_base_boy_decision.svg","Open preview")</x:f>
        <x:v>HYPERLINK is not implemented. linkLocation=previews/D04_base_boy_decision.svg, friendlyName=Open preview</x:v>
      </x:c>
      <x:c r="M15" s="7" t="e">
        <x:f>HYPERLINK("previews/D04_base_boy_consequence.svg","Open preview")</x:f>
        <x:v>HYPERLINK is not implemented. linkLocation=previews/D04_base_boy_consequence.svg, friendlyName=Open preview</x:v>
      </x:c>
      <x:c r="N15" s="7" t="e">
        <x:f>HYPERLINK("previews/D04_base_girl_decision.svg","Open preview")</x:f>
        <x:v>HYPERLINK is not implemented. linkLocation=previews/D04_base_girl_decision.svg, friendlyName=Open preview</x:v>
      </x:c>
      <x:c r="O15" s="7" t="e">
        <x:f>HYPERLINK("previews/D04_base_girl_consequence.svg","Open preview")</x:f>
        <x:v>HYPERLINK is not implemented. linkLocation=previews/D04_base_girl_consequence.svg, friendlyName=Open preview</x:v>
      </x:c>
    </x:row>
    <x:row r="16" ht="70" customHeight="1">
      <x:c r="A16" s="7" t="str">
        <x:v>D04</x:v>
      </x:c>
      <x:c r="B16" s="7" t="str">
        <x:v>changed</x:v>
      </x:c>
      <x:c r="C16" s="7" t="str">
        <x:v>The wide presser has moved inside; the carrying route has opened.
Identify pressure, support and the next threat before selecting.</x:v>
      </x:c>
      <x:c r="D16" s="8" t="str">
        <x:v>Pending</x:v>
      </x:c>
      <x:c r="E16" s="8" t="str">
        <x:v>Pending</x:v>
      </x:c>
      <x:c r="F16" s="8" t="str">
        <x:v>Pending</x:v>
      </x:c>
      <x:c r="G16" s="8" t="str">
        <x:v>Pending</x:v>
      </x:c>
      <x:c r="H16" s="8" t="str">
        <x:v>Pending</x:v>
      </x:c>
      <x:c r="I16" s="8" t="str">
        <x:v>Pending</x:v>
      </x:c>
      <x:c r="J16" s="7" t="str">
        <x:f>IF(COUNTIFS(D16:I16,"Pass")=6,"Passed","Review needed")</x:f>
        <x:v>Review needed</x:v>
      </x:c>
      <x:c r="K16" s="8" t="str"/>
      <x:c r="L16" s="7" t="e">
        <x:f>HYPERLINK("previews/D04_changed_boy_decision.svg","Open preview")</x:f>
        <x:v>HYPERLINK is not implemented. linkLocation=previews/D04_changed_boy_decision.svg, friendlyName=Open preview</x:v>
      </x:c>
      <x:c r="M16" s="7" t="e">
        <x:f>HYPERLINK("previews/D04_changed_boy_consequence.svg","Open preview")</x:f>
        <x:v>HYPERLINK is not implemented. linkLocation=previews/D04_changed_boy_consequence.svg, friendlyName=Open preview</x:v>
      </x:c>
      <x:c r="N16" s="7" t="e">
        <x:f>HYPERLINK("previews/D04_changed_girl_decision.svg","Open preview")</x:f>
        <x:v>HYPERLINK is not implemented. linkLocation=previews/D04_changed_girl_decision.svg, friendlyName=Open preview</x:v>
      </x:c>
      <x:c r="O16" s="7" t="e">
        <x:f>HYPERLINK("previews/D04_changed_girl_consequence.svg","Open preview")</x:f>
        <x:v>HYPERLINK is not implemented. linkLocation=previews/D04_changed_girl_consequence.svg, friendlyName=Open preview</x:v>
      </x:c>
    </x:row>
    <x:row r="17" ht="70" customHeight="1">
      <x:c r="A17" s="7" t="str">
        <x:v>D05</x:v>
      </x:c>
      <x:c r="B17" s="7" t="str">
        <x:v>base</x:v>
      </x:c>
      <x:c r="C17" s="7" t="str">
        <x:v>Ball is on opposite flank; switch route is open.
Identify pressure, support and the next threat before selecting.</x:v>
      </x:c>
      <x:c r="D17" s="8" t="str">
        <x:v>Pending</x:v>
      </x:c>
      <x:c r="E17" s="8" t="str">
        <x:v>Pending</x:v>
      </x:c>
      <x:c r="F17" s="8" t="str">
        <x:v>Pending</x:v>
      </x:c>
      <x:c r="G17" s="8" t="str">
        <x:v>Pending</x:v>
      </x:c>
      <x:c r="H17" s="8" t="str">
        <x:v>Pending</x:v>
      </x:c>
      <x:c r="I17" s="8" t="str">
        <x:v>Pending</x:v>
      </x:c>
      <x:c r="J17" s="7" t="str">
        <x:f>IF(COUNTIFS(D17:I17,"Pass")=6,"Passed","Review needed")</x:f>
        <x:v>Review needed</x:v>
      </x:c>
      <x:c r="K17" s="8" t="str"/>
      <x:c r="L17" s="7" t="e">
        <x:f>HYPERLINK("previews/D05_base_boy_decision.svg","Open preview")</x:f>
        <x:v>HYPERLINK is not implemented. linkLocation=previews/D05_base_boy_decision.svg, friendlyName=Open preview</x:v>
      </x:c>
      <x:c r="M17" s="7" t="e">
        <x:f>HYPERLINK("previews/D05_base_boy_consequence.svg","Open preview")</x:f>
        <x:v>HYPERLINK is not implemented. linkLocation=previews/D05_base_boy_consequence.svg, friendlyName=Open preview</x:v>
      </x:c>
      <x:c r="N17" s="7" t="e">
        <x:f>HYPERLINK("previews/D05_base_girl_decision.svg","Open preview")</x:f>
        <x:v>HYPERLINK is not implemented. linkLocation=previews/D05_base_girl_decision.svg, friendlyName=Open preview</x:v>
      </x:c>
      <x:c r="O17" s="7" t="e">
        <x:f>HYPERLINK("previews/D05_base_girl_consequence.svg","Open preview")</x:f>
        <x:v>HYPERLINK is not implemented. linkLocation=previews/D05_base_girl_consequence.svg, friendlyName=Open preview</x:v>
      </x:c>
    </x:row>
    <x:row r="18" ht="70" customHeight="1">
      <x:c r="A18" s="7" t="str">
        <x:v>D05</x:v>
      </x:c>
      <x:c r="B18" s="7" t="str">
        <x:v>changed</x:v>
      </x:c>
      <x:c r="C18" s="7" t="str">
        <x:v>LB is trapped and the central outlet is threatened; prepare for a possible turnover.
Identify pressure, support and the next threat before selecting.</x:v>
      </x:c>
      <x:c r="D18" s="8" t="str">
        <x:v>Pending</x:v>
      </x:c>
      <x:c r="E18" s="8" t="str">
        <x:v>Pending</x:v>
      </x:c>
      <x:c r="F18" s="8" t="str">
        <x:v>Pending</x:v>
      </x:c>
      <x:c r="G18" s="8" t="str">
        <x:v>Pending</x:v>
      </x:c>
      <x:c r="H18" s="8" t="str">
        <x:v>Pending</x:v>
      </x:c>
      <x:c r="I18" s="8" t="str">
        <x:v>Pending</x:v>
      </x:c>
      <x:c r="J18" s="7" t="str">
        <x:f>IF(COUNTIFS(D18:I18,"Pass")=6,"Passed","Review needed")</x:f>
        <x:v>Review needed</x:v>
      </x:c>
      <x:c r="K18" s="8" t="str"/>
      <x:c r="L18" s="7" t="e">
        <x:f>HYPERLINK("previews/D05_changed_boy_decision.svg","Open preview")</x:f>
        <x:v>HYPERLINK is not implemented. linkLocation=previews/D05_changed_boy_decision.svg, friendlyName=Open preview</x:v>
      </x:c>
      <x:c r="M18" s="7" t="e">
        <x:f>HYPERLINK("previews/D05_changed_boy_consequence.svg","Open preview")</x:f>
        <x:v>HYPERLINK is not implemented. linkLocation=previews/D05_changed_boy_consequence.svg, friendlyName=Open preview</x:v>
      </x:c>
      <x:c r="N18" s="7" t="e">
        <x:f>HYPERLINK("previews/D05_changed_girl_decision.svg","Open preview")</x:f>
        <x:v>HYPERLINK is not implemented. linkLocation=previews/D05_changed_girl_decision.svg, friendlyName=Open preview</x:v>
      </x:c>
      <x:c r="O18" s="7" t="e">
        <x:f>HYPERLINK("previews/D05_changed_girl_consequence.svg","Open preview")</x:f>
        <x:v>HYPERLINK is not implemented. linkLocation=previews/D05_changed_girl_consequence.svg, friendlyName=Open preview</x:v>
      </x:c>
    </x:row>
    <x:row r="19" ht="70" customHeight="1">
      <x:c r="A19" s="7" t="str">
        <x:v>D06</x:v>
      </x:c>
      <x:c r="B19" s="7" t="str">
        <x:v>base</x:v>
      </x:c>
      <x:c r="C19" s="7" t="str">
        <x:v>Outside back receives under pressure.
Identify pressure, support and the next threat before selecting.</x:v>
      </x:c>
      <x:c r="D19" s="8" t="str">
        <x:v>Pending</x:v>
      </x:c>
      <x:c r="E19" s="8" t="str">
        <x:v>Pending</x:v>
      </x:c>
      <x:c r="F19" s="8" t="str">
        <x:v>Pending</x:v>
      </x:c>
      <x:c r="G19" s="8" t="str">
        <x:v>Pending</x:v>
      </x:c>
      <x:c r="H19" s="8" t="str">
        <x:v>Pending</x:v>
      </x:c>
      <x:c r="I19" s="8" t="str">
        <x:v>Pending</x:v>
      </x:c>
      <x:c r="J19" s="7" t="str">
        <x:f>IF(COUNTIFS(D19:I19,"Pass")=6,"Passed","Review needed")</x:f>
        <x:v>Review needed</x:v>
      </x:c>
      <x:c r="K19" s="8" t="str"/>
      <x:c r="L19" s="7" t="e">
        <x:f>HYPERLINK("previews/D06_base_boy_decision.svg","Open preview")</x:f>
        <x:v>HYPERLINK is not implemented. linkLocation=previews/D06_base_boy_decision.svg, friendlyName=Open preview</x:v>
      </x:c>
      <x:c r="M19" s="7" t="e">
        <x:f>HYPERLINK("previews/D06_base_boy_consequence.svg","Open preview")</x:f>
        <x:v>HYPERLINK is not implemented. linkLocation=previews/D06_base_boy_consequence.svg, friendlyName=Open preview</x:v>
      </x:c>
      <x:c r="N19" s="7" t="e">
        <x:f>HYPERLINK("previews/D06_base_girl_decision.svg","Open preview")</x:f>
        <x:v>HYPERLINK is not implemented. linkLocation=previews/D06_base_girl_decision.svg, friendlyName=Open preview</x:v>
      </x:c>
      <x:c r="O19" s="7" t="e">
        <x:f>HYPERLINK("previews/D06_base_girl_consequence.svg","Open preview")</x:f>
        <x:v>HYPERLINK is not implemented. linkLocation=previews/D06_base_girl_consequence.svg, friendlyName=Open preview</x:v>
      </x:c>
    </x:row>
    <x:row r="20" ht="70" customHeight="1">
      <x:c r="A20" s="7" t="str">
        <x:v>D06</x:v>
      </x:c>
      <x:c r="B20" s="7" t="str">
        <x:v>changed</x:v>
      </x:c>
      <x:c r="C20" s="7" t="str">
        <x:v>LB can advance in space; avoid bringing your marker into that route.
Identify pressure, support and the next threat before selecting.</x:v>
      </x:c>
      <x:c r="D20" s="8" t="str">
        <x:v>Pending</x:v>
      </x:c>
      <x:c r="E20" s="8" t="str">
        <x:v>Pending</x:v>
      </x:c>
      <x:c r="F20" s="8" t="str">
        <x:v>Pending</x:v>
      </x:c>
      <x:c r="G20" s="8" t="str">
        <x:v>Pending</x:v>
      </x:c>
      <x:c r="H20" s="8" t="str">
        <x:v>Pending</x:v>
      </x:c>
      <x:c r="I20" s="8" t="str">
        <x:v>Pending</x:v>
      </x:c>
      <x:c r="J20" s="7" t="str">
        <x:f>IF(COUNTIFS(D20:I20,"Pass")=6,"Passed","Review needed")</x:f>
        <x:v>Review needed</x:v>
      </x:c>
      <x:c r="K20" s="8" t="str"/>
      <x:c r="L20" s="7" t="e">
        <x:f>HYPERLINK("previews/D06_changed_boy_decision.svg","Open preview")</x:f>
        <x:v>HYPERLINK is not implemented. linkLocation=previews/D06_changed_boy_decision.svg, friendlyName=Open preview</x:v>
      </x:c>
      <x:c r="M20" s="7" t="e">
        <x:f>HYPERLINK("previews/D06_changed_boy_consequence.svg","Open preview")</x:f>
        <x:v>HYPERLINK is not implemented. linkLocation=previews/D06_changed_boy_consequence.svg, friendlyName=Open preview</x:v>
      </x:c>
      <x:c r="N20" s="7" t="e">
        <x:f>HYPERLINK("previews/D06_changed_girl_decision.svg","Open preview")</x:f>
        <x:v>HYPERLINK is not implemented. linkLocation=previews/D06_changed_girl_decision.svg, friendlyName=Open preview</x:v>
      </x:c>
      <x:c r="O20" s="7" t="e">
        <x:f>HYPERLINK("previews/D06_changed_girl_consequence.svg","Open preview")</x:f>
        <x:v>HYPERLINK is not implemented. linkLocation=previews/D06_changed_girl_consequence.svg, friendlyName=Open preview</x:v>
      </x:c>
    </x:row>
    <x:row r="21" ht="70" customHeight="1">
      <x:c r="A21" s="7" t="str">
        <x:v>D07</x:v>
      </x:c>
      <x:c r="B21" s="7" t="str">
        <x:v>base</x:v>
      </x:c>
      <x:c r="C21" s="7" t="str">
        <x:v>Wide defender is isolated; supporting teammate is available.
Identify pressure, support and the next threat before selecting.</x:v>
      </x:c>
      <x:c r="D21" s="8" t="str">
        <x:v>Pending</x:v>
      </x:c>
      <x:c r="E21" s="8" t="str">
        <x:v>Pending</x:v>
      </x:c>
      <x:c r="F21" s="8" t="str">
        <x:v>Pending</x:v>
      </x:c>
      <x:c r="G21" s="8" t="str">
        <x:v>Pending</x:v>
      </x:c>
      <x:c r="H21" s="8" t="str">
        <x:v>Pending</x:v>
      </x:c>
      <x:c r="I21" s="8" t="str">
        <x:v>Pending</x:v>
      </x:c>
      <x:c r="J21" s="7" t="str">
        <x:f>IF(COUNTIFS(D21:I21,"Pass")=6,"Passed","Review needed")</x:f>
        <x:v>Review needed</x:v>
      </x:c>
      <x:c r="K21" s="8" t="str"/>
      <x:c r="L21" s="7" t="e">
        <x:f>HYPERLINK("previews/D07_base_boy_decision.svg","Open preview")</x:f>
        <x:v>HYPERLINK is not implemented. linkLocation=previews/D07_base_boy_decision.svg, friendlyName=Open preview</x:v>
      </x:c>
      <x:c r="M21" s="7" t="e">
        <x:f>HYPERLINK("previews/D07_base_boy_consequence.svg","Open preview")</x:f>
        <x:v>HYPERLINK is not implemented. linkLocation=previews/D07_base_boy_consequence.svg, friendlyName=Open preview</x:v>
      </x:c>
      <x:c r="N21" s="7" t="e">
        <x:f>HYPERLINK("previews/D07_base_girl_decision.svg","Open preview")</x:f>
        <x:v>HYPERLINK is not implemented. linkLocation=previews/D07_base_girl_decision.svg, friendlyName=Open preview</x:v>
      </x:c>
      <x:c r="O21" s="7" t="e">
        <x:f>HYPERLINK("previews/D07_base_girl_consequence.svg","Open preview")</x:f>
        <x:v>HYPERLINK is not implemented. linkLocation=previews/D07_base_girl_consequence.svg, friendlyName=Open preview</x:v>
      </x:c>
    </x:row>
    <x:row r="22" ht="70" customHeight="1">
      <x:c r="A22" s="7" t="str">
        <x:v>D07</x:v>
      </x:c>
      <x:c r="B22" s="7" t="str">
        <x:v>changed</x:v>
      </x:c>
      <x:c r="C22" s="7" t="str">
        <x:v>The defender closes the carrier; the inside support pass is still available.
Identify pressure, support and the next threat before selecting.</x:v>
      </x:c>
      <x:c r="D22" s="8" t="str">
        <x:v>Pending</x:v>
      </x:c>
      <x:c r="E22" s="8" t="str">
        <x:v>Pending</x:v>
      </x:c>
      <x:c r="F22" s="8" t="str">
        <x:v>Pending</x:v>
      </x:c>
      <x:c r="G22" s="8" t="str">
        <x:v>Pending</x:v>
      </x:c>
      <x:c r="H22" s="8" t="str">
        <x:v>Pending</x:v>
      </x:c>
      <x:c r="I22" s="8" t="str">
        <x:v>Pending</x:v>
      </x:c>
      <x:c r="J22" s="7" t="str">
        <x:f>IF(COUNTIFS(D22:I22,"Pass")=6,"Passed","Review needed")</x:f>
        <x:v>Review needed</x:v>
      </x:c>
      <x:c r="K22" s="8" t="str"/>
      <x:c r="L22" s="7" t="e">
        <x:f>HYPERLINK("previews/D07_changed_boy_decision.svg","Open preview")</x:f>
        <x:v>HYPERLINK is not implemented. linkLocation=previews/D07_changed_boy_decision.svg, friendlyName=Open preview</x:v>
      </x:c>
      <x:c r="M22" s="7" t="e">
        <x:f>HYPERLINK("previews/D07_changed_boy_consequence.svg","Open preview")</x:f>
        <x:v>HYPERLINK is not implemented. linkLocation=previews/D07_changed_boy_consequence.svg, friendlyName=Open preview</x:v>
      </x:c>
      <x:c r="N22" s="7" t="e">
        <x:f>HYPERLINK("previews/D07_changed_girl_decision.svg","Open preview")</x:f>
        <x:v>HYPERLINK is not implemented. linkLocation=previews/D07_changed_girl_decision.svg, friendlyName=Open preview</x:v>
      </x:c>
      <x:c r="O22" s="7" t="e">
        <x:f>HYPERLINK("previews/D07_changed_girl_consequence.svg","Open preview")</x:f>
        <x:v>HYPERLINK is not implemented. linkLocation=previews/D07_changed_girl_consequence.svg, friendlyName=Open preview</x:v>
      </x:c>
    </x:row>
    <x:row r="23" ht="70" customHeight="1">
      <x:c r="A23" s="7" t="str">
        <x:v>D08</x:v>
      </x:c>
      <x:c r="B23" s="7" t="str">
        <x:v>base</x:v>
      </x:c>
      <x:c r="C23" s="7" t="str">
        <x:v>Wing is crowded; far-side route is clear.
Identify pressure, support and the next threat before selecting.</x:v>
      </x:c>
      <x:c r="D23" s="8" t="str">
        <x:v>Pending</x:v>
      </x:c>
      <x:c r="E23" s="8" t="str">
        <x:v>Pending</x:v>
      </x:c>
      <x:c r="F23" s="8" t="str">
        <x:v>Pending</x:v>
      </x:c>
      <x:c r="G23" s="8" t="str">
        <x:v>Pending</x:v>
      </x:c>
      <x:c r="H23" s="8" t="str">
        <x:v>Pending</x:v>
      </x:c>
      <x:c r="I23" s="8" t="str">
        <x:v>Pending</x:v>
      </x:c>
      <x:c r="J23" s="7" t="str">
        <x:f>IF(COUNTIFS(D23:I23,"Pass")=6,"Passed","Review needed")</x:f>
        <x:v>Review needed</x:v>
      </x:c>
      <x:c r="K23" s="8" t="str"/>
      <x:c r="L23" s="7" t="e">
        <x:f>HYPERLINK("previews/D08_base_boy_decision.svg","Open preview")</x:f>
        <x:v>HYPERLINK is not implemented. linkLocation=previews/D08_base_boy_decision.svg, friendlyName=Open preview</x:v>
      </x:c>
      <x:c r="M23" s="7" t="e">
        <x:f>HYPERLINK("previews/D08_base_boy_consequence.svg","Open preview")</x:f>
        <x:v>HYPERLINK is not implemented. linkLocation=previews/D08_base_boy_consequence.svg, friendlyName=Open preview</x:v>
      </x:c>
      <x:c r="N23" s="7" t="e">
        <x:f>HYPERLINK("previews/D08_base_girl_decision.svg","Open preview")</x:f>
        <x:v>HYPERLINK is not implemented. linkLocation=previews/D08_base_girl_decision.svg, friendlyName=Open preview</x:v>
      </x:c>
      <x:c r="O23" s="7" t="e">
        <x:f>HYPERLINK("previews/D08_base_girl_consequence.svg","Open preview")</x:f>
        <x:v>HYPERLINK is not implemented. linkLocation=previews/D08_base_girl_consequence.svg, friendlyName=Open preview</x:v>
      </x:c>
    </x:row>
    <x:row r="24" ht="70" customHeight="1">
      <x:c r="A24" s="7" t="str">
        <x:v>D08</x:v>
      </x:c>
      <x:c r="B24" s="7" t="str">
        <x:v>changed</x:v>
      </x:c>
      <x:c r="C24" s="7" t="str">
        <x:v>The direct switch is screened, while the left-side combination has opened.
Identify pressure, support and the next threat before selecting.</x:v>
      </x:c>
      <x:c r="D24" s="8" t="str">
        <x:v>Pending</x:v>
      </x:c>
      <x:c r="E24" s="8" t="str">
        <x:v>Pending</x:v>
      </x:c>
      <x:c r="F24" s="8" t="str">
        <x:v>Pending</x:v>
      </x:c>
      <x:c r="G24" s="8" t="str">
        <x:v>Pending</x:v>
      </x:c>
      <x:c r="H24" s="8" t="str">
        <x:v>Pending</x:v>
      </x:c>
      <x:c r="I24" s="8" t="str">
        <x:v>Pending</x:v>
      </x:c>
      <x:c r="J24" s="7" t="str">
        <x:f>IF(COUNTIFS(D24:I24,"Pass")=6,"Passed","Review needed")</x:f>
        <x:v>Review needed</x:v>
      </x:c>
      <x:c r="K24" s="8" t="str"/>
      <x:c r="L24" s="7" t="e">
        <x:f>HYPERLINK("previews/D08_changed_boy_decision.svg","Open preview")</x:f>
        <x:v>HYPERLINK is not implemented. linkLocation=previews/D08_changed_boy_decision.svg, friendlyName=Open preview</x:v>
      </x:c>
      <x:c r="M24" s="7" t="e">
        <x:f>HYPERLINK("previews/D08_changed_boy_consequence.svg","Open preview")</x:f>
        <x:v>HYPERLINK is not implemented. linkLocation=previews/D08_changed_boy_consequence.svg, friendlyName=Open preview</x:v>
      </x:c>
      <x:c r="N24" s="7" t="e">
        <x:f>HYPERLINK("previews/D08_changed_girl_decision.svg","Open preview")</x:f>
        <x:v>HYPERLINK is not implemented. linkLocation=previews/D08_changed_girl_decision.svg, friendlyName=Open preview</x:v>
      </x:c>
      <x:c r="O24" s="7" t="e">
        <x:f>HYPERLINK("previews/D08_changed_girl_consequence.svg","Open preview")</x:f>
        <x:v>HYPERLINK is not implemented. linkLocation=previews/D08_changed_girl_consequence.svg, friendlyName=Open preview</x:v>
      </x:c>
    </x:row>
    <x:row r="25" ht="70" customHeight="1">
      <x:c r="A25" s="7" t="str">
        <x:v>D09</x:v>
      </x:c>
      <x:c r="B25" s="7" t="str">
        <x:v>base</x:v>
      </x:c>
      <x:c r="C25" s="7" t="str">
        <x:v>Teammate drives inside and occupies your lane.
Identify pressure, support and the next threat before selecting.</x:v>
      </x:c>
      <x:c r="D25" s="8" t="str">
        <x:v>Pending</x:v>
      </x:c>
      <x:c r="E25" s="8" t="str">
        <x:v>Pending</x:v>
      </x:c>
      <x:c r="F25" s="8" t="str">
        <x:v>Pending</x:v>
      </x:c>
      <x:c r="G25" s="8" t="str">
        <x:v>Pending</x:v>
      </x:c>
      <x:c r="H25" s="8" t="str">
        <x:v>Pending</x:v>
      </x:c>
      <x:c r="I25" s="8" t="str">
        <x:v>Pending</x:v>
      </x:c>
      <x:c r="J25" s="7" t="str">
        <x:f>IF(COUNTIFS(D25:I25,"Pass")=6,"Passed","Review needed")</x:f>
        <x:v>Review needed</x:v>
      </x:c>
      <x:c r="K25" s="8" t="str"/>
      <x:c r="L25" s="7" t="e">
        <x:f>HYPERLINK("previews/D09_base_boy_decision.svg","Open preview")</x:f>
        <x:v>HYPERLINK is not implemented. linkLocation=previews/D09_base_boy_decision.svg, friendlyName=Open preview</x:v>
      </x:c>
      <x:c r="M25" s="7" t="e">
        <x:f>HYPERLINK("previews/D09_base_boy_consequence.svg","Open preview")</x:f>
        <x:v>HYPERLINK is not implemented. linkLocation=previews/D09_base_boy_consequence.svg, friendlyName=Open preview</x:v>
      </x:c>
      <x:c r="N25" s="7" t="e">
        <x:f>HYPERLINK("previews/D09_base_girl_decision.svg","Open preview")</x:f>
        <x:v>HYPERLINK is not implemented. linkLocation=previews/D09_base_girl_decision.svg, friendlyName=Open preview</x:v>
      </x:c>
      <x:c r="O25" s="7" t="e">
        <x:f>HYPERLINK("previews/D09_base_girl_consequence.svg","Open preview")</x:f>
        <x:v>HYPERLINK is not implemented. linkLocation=previews/D09_base_girl_consequence.svg, friendlyName=Open preview</x:v>
      </x:c>
    </x:row>
    <x:row r="26" ht="70" customHeight="1">
      <x:c r="A26" s="7" t="str">
        <x:v>D09</x:v>
      </x:c>
      <x:c r="B26" s="7" t="str">
        <x:v>changed</x:v>
      </x:c>
      <x:c r="C26" s="7" t="str">
        <x:v>The carrier stays wide and the defender follows; an inside lane is now available.
Identify pressure, support and the next threat before selecting.</x:v>
      </x:c>
      <x:c r="D26" s="8" t="str">
        <x:v>Pending</x:v>
      </x:c>
      <x:c r="E26" s="8" t="str">
        <x:v>Pending</x:v>
      </x:c>
      <x:c r="F26" s="8" t="str">
        <x:v>Pending</x:v>
      </x:c>
      <x:c r="G26" s="8" t="str">
        <x:v>Pending</x:v>
      </x:c>
      <x:c r="H26" s="8" t="str">
        <x:v>Pending</x:v>
      </x:c>
      <x:c r="I26" s="8" t="str">
        <x:v>Pending</x:v>
      </x:c>
      <x:c r="J26" s="7" t="str">
        <x:f>IF(COUNTIFS(D26:I26,"Pass")=6,"Passed","Review needed")</x:f>
        <x:v>Review needed</x:v>
      </x:c>
      <x:c r="K26" s="8" t="str"/>
      <x:c r="L26" s="7" t="e">
        <x:f>HYPERLINK("previews/D09_changed_boy_decision.svg","Open preview")</x:f>
        <x:v>HYPERLINK is not implemented. linkLocation=previews/D09_changed_boy_decision.svg, friendlyName=Open preview</x:v>
      </x:c>
      <x:c r="M26" s="7" t="e">
        <x:f>HYPERLINK("previews/D09_changed_boy_consequence.svg","Open preview")</x:f>
        <x:v>HYPERLINK is not implemented. linkLocation=previews/D09_changed_boy_consequence.svg, friendlyName=Open preview</x:v>
      </x:c>
      <x:c r="N26" s="7" t="e">
        <x:f>HYPERLINK("previews/D09_changed_girl_decision.svg","Open preview")</x:f>
        <x:v>HYPERLINK is not implemented. linkLocation=previews/D09_changed_girl_decision.svg, friendlyName=Open preview</x:v>
      </x:c>
      <x:c r="O26" s="7" t="e">
        <x:f>HYPERLINK("previews/D09_changed_girl_consequence.svg","Open preview")</x:f>
        <x:v>HYPERLINK is not implemented. linkLocation=previews/D09_changed_girl_consequence.svg, friendlyName=Open preview</x:v>
      </x:c>
    </x:row>
    <x:row r="27" ht="70" customHeight="1">
      <x:c r="A27" s="7" t="str">
        <x:v>D10</x:v>
      </x:c>
      <x:c r="B27" s="7" t="str">
        <x:v>base</x:v>
      </x:c>
      <x:c r="C27" s="7" t="str">
        <x:v>Opponent has shifted toward the ball.
Identify pressure, support and the next threat before selecting.</x:v>
      </x:c>
      <x:c r="D27" s="8" t="str">
        <x:v>Pending</x:v>
      </x:c>
      <x:c r="E27" s="8" t="str">
        <x:v>Pending</x:v>
      </x:c>
      <x:c r="F27" s="8" t="str">
        <x:v>Pending</x:v>
      </x:c>
      <x:c r="G27" s="8" t="str">
        <x:v>Pending</x:v>
      </x:c>
      <x:c r="H27" s="8" t="str">
        <x:v>Pending</x:v>
      </x:c>
      <x:c r="I27" s="8" t="str">
        <x:v>Pending</x:v>
      </x:c>
      <x:c r="J27" s="7" t="str">
        <x:f>IF(COUNTIFS(D27:I27,"Pass")=6,"Passed","Review needed")</x:f>
        <x:v>Review needed</x:v>
      </x:c>
      <x:c r="K27" s="8" t="str"/>
      <x:c r="L27" s="7" t="e">
        <x:f>HYPERLINK("previews/D10_base_boy_decision.svg","Open preview")</x:f>
        <x:v>HYPERLINK is not implemented. linkLocation=previews/D10_base_boy_decision.svg, friendlyName=Open preview</x:v>
      </x:c>
      <x:c r="M27" s="7" t="e">
        <x:f>HYPERLINK("previews/D10_base_boy_consequence.svg","Open preview")</x:f>
        <x:v>HYPERLINK is not implemented. linkLocation=previews/D10_base_boy_consequence.svg, friendlyName=Open preview</x:v>
      </x:c>
      <x:c r="N27" s="7" t="e">
        <x:f>HYPERLINK("previews/D10_base_girl_decision.svg","Open preview")</x:f>
        <x:v>HYPERLINK is not implemented. linkLocation=previews/D10_base_girl_decision.svg, friendlyName=Open preview</x:v>
      </x:c>
      <x:c r="O27" s="7" t="e">
        <x:f>HYPERLINK("previews/D10_base_girl_consequence.svg","Open preview")</x:f>
        <x:v>HYPERLINK is not implemented. linkLocation=previews/D10_base_girl_consequence.svg, friendlyName=Open preview</x:v>
      </x:c>
    </x:row>
    <x:row r="28" ht="70" customHeight="1">
      <x:c r="A28" s="7" t="str">
        <x:v>D10</x:v>
      </x:c>
      <x:c r="B28" s="7" t="str">
        <x:v>changed</x:v>
      </x:c>
      <x:c r="C28" s="7" t="str">
        <x:v>The far-side passing route is now occupied; retain and reorganize instead.
Identify pressure, support and the next threat before selecting.</x:v>
      </x:c>
      <x:c r="D28" s="8" t="str">
        <x:v>Pending</x:v>
      </x:c>
      <x:c r="E28" s="8" t="str">
        <x:v>Pending</x:v>
      </x:c>
      <x:c r="F28" s="8" t="str">
        <x:v>Pending</x:v>
      </x:c>
      <x:c r="G28" s="8" t="str">
        <x:v>Pending</x:v>
      </x:c>
      <x:c r="H28" s="8" t="str">
        <x:v>Pending</x:v>
      </x:c>
      <x:c r="I28" s="8" t="str">
        <x:v>Pending</x:v>
      </x:c>
      <x:c r="J28" s="7" t="str">
        <x:f>IF(COUNTIFS(D28:I28,"Pass")=6,"Passed","Review needed")</x:f>
        <x:v>Review needed</x:v>
      </x:c>
      <x:c r="K28" s="8" t="str"/>
      <x:c r="L28" s="7" t="e">
        <x:f>HYPERLINK("previews/D10_changed_boy_decision.svg","Open preview")</x:f>
        <x:v>HYPERLINK is not implemented. linkLocation=previews/D10_changed_boy_decision.svg, friendlyName=Open preview</x:v>
      </x:c>
      <x:c r="M28" s="7" t="e">
        <x:f>HYPERLINK("previews/D10_changed_boy_consequence.svg","Open preview")</x:f>
        <x:v>HYPERLINK is not implemented. linkLocation=previews/D10_changed_boy_consequence.svg, friendlyName=Open preview</x:v>
      </x:c>
      <x:c r="N28" s="7" t="e">
        <x:f>HYPERLINK("previews/D10_changed_girl_decision.svg","Open preview")</x:f>
        <x:v>HYPERLINK is not implemented. linkLocation=previews/D10_changed_girl_decision.svg, friendlyName=Open preview</x:v>
      </x:c>
      <x:c r="O28" s="7" t="e">
        <x:f>HYPERLINK("previews/D10_changed_girl_consequence.svg","Open preview")</x:f>
        <x:v>HYPERLINK is not implemented. linkLocation=previews/D10_changed_girl_consequence.svg, friendlyName=Open preview</x:v>
      </x:c>
    </x:row>
    <x:row r="29" ht="70" customHeight="1">
      <x:c r="A29" s="7" t="str">
        <x:v>D11</x:v>
      </x:c>
      <x:c r="B29" s="7" t="str">
        <x:v>base</x:v>
      </x:c>
      <x:c r="C29" s="7" t="str">
        <x:v>Switch arrives; defender has not recovered.
Identify pressure, support and the next threat before selecting.</x:v>
      </x:c>
      <x:c r="D29" s="8" t="str">
        <x:v>Pending</x:v>
      </x:c>
      <x:c r="E29" s="8" t="str">
        <x:v>Pending</x:v>
      </x:c>
      <x:c r="F29" s="8" t="str">
        <x:v>Pending</x:v>
      </x:c>
      <x:c r="G29" s="8" t="str">
        <x:v>Pending</x:v>
      </x:c>
      <x:c r="H29" s="8" t="str">
        <x:v>Pending</x:v>
      </x:c>
      <x:c r="I29" s="8" t="str">
        <x:v>Pending</x:v>
      </x:c>
      <x:c r="J29" s="7" t="str">
        <x:f>IF(COUNTIFS(D29:I29,"Pass")=6,"Passed","Review needed")</x:f>
        <x:v>Review needed</x:v>
      </x:c>
      <x:c r="K29" s="8" t="str"/>
      <x:c r="L29" s="7" t="e">
        <x:f>HYPERLINK("previews/D11_base_boy_decision.svg","Open preview")</x:f>
        <x:v>HYPERLINK is not implemented. linkLocation=previews/D11_base_boy_decision.svg, friendlyName=Open preview</x:v>
      </x:c>
      <x:c r="M29" s="7" t="e">
        <x:f>HYPERLINK("previews/D11_base_boy_consequence.svg","Open preview")</x:f>
        <x:v>HYPERLINK is not implemented. linkLocation=previews/D11_base_boy_consequence.svg, friendlyName=Open preview</x:v>
      </x:c>
      <x:c r="N29" s="7" t="e">
        <x:f>HYPERLINK("previews/D11_base_girl_decision.svg","Open preview")</x:f>
        <x:v>HYPERLINK is not implemented. linkLocation=previews/D11_base_girl_decision.svg, friendlyName=Open preview</x:v>
      </x:c>
      <x:c r="O29" s="7" t="e">
        <x:f>HYPERLINK("previews/D11_base_girl_consequence.svg","Open preview")</x:f>
        <x:v>HYPERLINK is not implemented. linkLocation=previews/D11_base_girl_consequence.svg, friendlyName=Open preview</x:v>
      </x:c>
    </x:row>
    <x:row r="30" ht="70" customHeight="1">
      <x:c r="A30" s="7" t="str">
        <x:v>D11</x:v>
      </x:c>
      <x:c r="B30" s="7" t="str">
        <x:v>changed</x:v>
      </x:c>
      <x:c r="C30" s="7" t="str">
        <x:v>The defender has arrived in front of you; CM remains available underneath.
Identify pressure, support and the next threat before selecting.</x:v>
      </x:c>
      <x:c r="D30" s="8" t="str">
        <x:v>Pending</x:v>
      </x:c>
      <x:c r="E30" s="8" t="str">
        <x:v>Pending</x:v>
      </x:c>
      <x:c r="F30" s="8" t="str">
        <x:v>Pending</x:v>
      </x:c>
      <x:c r="G30" s="8" t="str">
        <x:v>Pending</x:v>
      </x:c>
      <x:c r="H30" s="8" t="str">
        <x:v>Pending</x:v>
      </x:c>
      <x:c r="I30" s="8" t="str">
        <x:v>Pending</x:v>
      </x:c>
      <x:c r="J30" s="7" t="str">
        <x:f>IF(COUNTIFS(D30:I30,"Pass")=6,"Passed","Review needed")</x:f>
        <x:v>Review needed</x:v>
      </x:c>
      <x:c r="K30" s="8" t="str"/>
      <x:c r="L30" s="7" t="e">
        <x:f>HYPERLINK("previews/D11_changed_boy_decision.svg","Open preview")</x:f>
        <x:v>HYPERLINK is not implemented. linkLocation=previews/D11_changed_boy_decision.svg, friendlyName=Open preview</x:v>
      </x:c>
      <x:c r="M30" s="7" t="e">
        <x:f>HYPERLINK("previews/D11_changed_boy_consequence.svg","Open preview")</x:f>
        <x:v>HYPERLINK is not implemented. linkLocation=previews/D11_changed_boy_consequence.svg, friendlyName=Open preview</x:v>
      </x:c>
      <x:c r="N30" s="7" t="e">
        <x:f>HYPERLINK("previews/D11_changed_girl_decision.svg","Open preview")</x:f>
        <x:v>HYPERLINK is not implemented. linkLocation=previews/D11_changed_girl_decision.svg, friendlyName=Open preview</x:v>
      </x:c>
      <x:c r="O30" s="7" t="e">
        <x:f>HYPERLINK("previews/D11_changed_girl_consequence.svg","Open preview")</x:f>
        <x:v>HYPERLINK is not implemented. linkLocation=previews/D11_changed_girl_consequence.svg, friendlyName=Open preview</x:v>
      </x:c>
    </x:row>
    <x:row r="31" ht="70" customHeight="1">
      <x:c r="A31" s="7" t="str">
        <x:v>D12</x:v>
      </x:c>
      <x:c r="B31" s="7" t="str">
        <x:v>base</x:v>
      </x:c>
      <x:c r="C31" s="7" t="str">
        <x:v>Opposite winger receives; central defender tracks striker.
Identify pressure, support and the next threat before selecting.</x:v>
      </x:c>
      <x:c r="D31" s="8" t="str">
        <x:v>Pending</x:v>
      </x:c>
      <x:c r="E31" s="8" t="str">
        <x:v>Pending</x:v>
      </x:c>
      <x:c r="F31" s="8" t="str">
        <x:v>Pending</x:v>
      </x:c>
      <x:c r="G31" s="8" t="str">
        <x:v>Pending</x:v>
      </x:c>
      <x:c r="H31" s="8" t="str">
        <x:v>Pending</x:v>
      </x:c>
      <x:c r="I31" s="8" t="str">
        <x:v>Pending</x:v>
      </x:c>
      <x:c r="J31" s="7" t="str">
        <x:f>IF(COUNTIFS(D31:I31,"Pass")=6,"Passed","Review needed")</x:f>
        <x:v>Review needed</x:v>
      </x:c>
      <x:c r="K31" s="8" t="str"/>
      <x:c r="L31" s="7" t="e">
        <x:f>HYPERLINK("previews/D12_base_boy_decision.svg","Open preview")</x:f>
        <x:v>HYPERLINK is not implemented. linkLocation=previews/D12_base_boy_decision.svg, friendlyName=Open preview</x:v>
      </x:c>
      <x:c r="M31" s="7" t="e">
        <x:f>HYPERLINK("previews/D12_base_boy_consequence.svg","Open preview")</x:f>
        <x:v>HYPERLINK is not implemented. linkLocation=previews/D12_base_boy_consequence.svg, friendlyName=Open preview</x:v>
      </x:c>
      <x:c r="N31" s="7" t="e">
        <x:f>HYPERLINK("previews/D12_base_girl_decision.svg","Open preview")</x:f>
        <x:v>HYPERLINK is not implemented. linkLocation=previews/D12_base_girl_decision.svg, friendlyName=Open preview</x:v>
      </x:c>
      <x:c r="O31" s="7" t="e">
        <x:f>HYPERLINK("previews/D12_base_girl_consequence.svg","Open preview")</x:f>
        <x:v>HYPERLINK is not implemented. linkLocation=previews/D12_base_girl_consequence.svg, friendlyName=Open preview</x:v>
      </x:c>
    </x:row>
    <x:row r="32" ht="70" customHeight="1">
      <x:c r="A32" s="7" t="str">
        <x:v>D12</x:v>
      </x:c>
      <x:c r="B32" s="7" t="str">
        <x:v>changed</x:v>
      </x:c>
      <x:c r="C32" s="7" t="str">
        <x:v>The diagonal is covered; maintain another passing lane instead of running into the marker.
Identify pressure, support and the next threat before selecting.</x:v>
      </x:c>
      <x:c r="D32" s="8" t="str">
        <x:v>Pending</x:v>
      </x:c>
      <x:c r="E32" s="8" t="str">
        <x:v>Pending</x:v>
      </x:c>
      <x:c r="F32" s="8" t="str">
        <x:v>Pending</x:v>
      </x:c>
      <x:c r="G32" s="8" t="str">
        <x:v>Pending</x:v>
      </x:c>
      <x:c r="H32" s="8" t="str">
        <x:v>Pending</x:v>
      </x:c>
      <x:c r="I32" s="8" t="str">
        <x:v>Pending</x:v>
      </x:c>
      <x:c r="J32" s="7" t="str">
        <x:f>IF(COUNTIFS(D32:I32,"Pass")=6,"Passed","Review needed")</x:f>
        <x:v>Review needed</x:v>
      </x:c>
      <x:c r="K32" s="8" t="str"/>
      <x:c r="L32" s="7" t="e">
        <x:f>HYPERLINK("previews/D12_changed_boy_decision.svg","Open preview")</x:f>
        <x:v>HYPERLINK is not implemented. linkLocation=previews/D12_changed_boy_decision.svg, friendlyName=Open preview</x:v>
      </x:c>
      <x:c r="M32" s="7" t="e">
        <x:f>HYPERLINK("previews/D12_changed_boy_consequence.svg","Open preview")</x:f>
        <x:v>HYPERLINK is not implemented. linkLocation=previews/D12_changed_boy_consequence.svg, friendlyName=Open preview</x:v>
      </x:c>
      <x:c r="N32" s="7" t="e">
        <x:f>HYPERLINK("previews/D12_changed_girl_decision.svg","Open preview")</x:f>
        <x:v>HYPERLINK is not implemented. linkLocation=previews/D12_changed_girl_decision.svg, friendlyName=Open preview</x:v>
      </x:c>
      <x:c r="O32" s="7" t="e">
        <x:f>HYPERLINK("previews/D12_changed_girl_consequence.svg","Open preview")</x:f>
        <x:v>HYPERLINK is not implemented. linkLocation=previews/D12_changed_girl_consequence.svg, friendlyName=Open preview</x:v>
      </x:c>
    </x:row>
    <x:row r="33" ht="70" customHeight="1">
      <x:c r="A33" s="7" t="str">
        <x:v>D13</x:v>
      </x:c>
      <x:c r="B33" s="7" t="str">
        <x:v>base</x:v>
      </x:c>
      <x:c r="C33" s="7" t="str">
        <x:v>Defender steps toward carrier; you are onside.
Identify pressure, support and the next threat before selecting.</x:v>
      </x:c>
      <x:c r="D33" s="8" t="str">
        <x:v>Pending</x:v>
      </x:c>
      <x:c r="E33" s="8" t="str">
        <x:v>Pending</x:v>
      </x:c>
      <x:c r="F33" s="8" t="str">
        <x:v>Pending</x:v>
      </x:c>
      <x:c r="G33" s="8" t="str">
        <x:v>Pending</x:v>
      </x:c>
      <x:c r="H33" s="8" t="str">
        <x:v>Pending</x:v>
      </x:c>
      <x:c r="I33" s="8" t="str">
        <x:v>Pending</x:v>
      </x:c>
      <x:c r="J33" s="7" t="str">
        <x:f>IF(COUNTIFS(D33:I33,"Pass")=6,"Passed","Review needed")</x:f>
        <x:v>Review needed</x:v>
      </x:c>
      <x:c r="K33" s="8" t="str"/>
      <x:c r="L33" s="7" t="e">
        <x:f>HYPERLINK("previews/D13_base_boy_decision.svg","Open preview")</x:f>
        <x:v>HYPERLINK is not implemented. linkLocation=previews/D13_base_boy_decision.svg, friendlyName=Open preview</x:v>
      </x:c>
      <x:c r="M33" s="7" t="e">
        <x:f>HYPERLINK("previews/D13_base_boy_consequence.svg","Open preview")</x:f>
        <x:v>HYPERLINK is not implemented. linkLocation=previews/D13_base_boy_consequence.svg, friendlyName=Open preview</x:v>
      </x:c>
      <x:c r="N33" s="7" t="e">
        <x:f>HYPERLINK("previews/D13_base_girl_decision.svg","Open preview")</x:f>
        <x:v>HYPERLINK is not implemented. linkLocation=previews/D13_base_girl_decision.svg, friendlyName=Open preview</x:v>
      </x:c>
      <x:c r="O33" s="7" t="e">
        <x:f>HYPERLINK("previews/D13_base_girl_consequence.svg","Open preview")</x:f>
        <x:v>HYPERLINK is not implemented. linkLocation=previews/D13_base_girl_consequence.svg, friendlyName=Open preview</x:v>
      </x:c>
    </x:row>
    <x:row r="34" ht="70" customHeight="1">
      <x:c r="A34" s="7" t="str">
        <x:v>D13</x:v>
      </x:c>
      <x:c r="B34" s="7" t="str">
        <x:v>changed</x:v>
      </x:c>
      <x:c r="C34" s="7" t="str">
        <x:v>A recovering defender closes the forward lane; the carrier needs a shorter option.
Identify pressure, support and the next threat before selecting.</x:v>
      </x:c>
      <x:c r="D34" s="8" t="str">
        <x:v>Pending</x:v>
      </x:c>
      <x:c r="E34" s="8" t="str">
        <x:v>Pending</x:v>
      </x:c>
      <x:c r="F34" s="8" t="str">
        <x:v>Pending</x:v>
      </x:c>
      <x:c r="G34" s="8" t="str">
        <x:v>Pending</x:v>
      </x:c>
      <x:c r="H34" s="8" t="str">
        <x:v>Pending</x:v>
      </x:c>
      <x:c r="I34" s="8" t="str">
        <x:v>Pending</x:v>
      </x:c>
      <x:c r="J34" s="7" t="str">
        <x:f>IF(COUNTIFS(D34:I34,"Pass")=6,"Passed","Review needed")</x:f>
        <x:v>Review needed</x:v>
      </x:c>
      <x:c r="K34" s="8" t="str"/>
      <x:c r="L34" s="7" t="e">
        <x:f>HYPERLINK("previews/D13_changed_boy_decision.svg","Open preview")</x:f>
        <x:v>HYPERLINK is not implemented. linkLocation=previews/D13_changed_boy_decision.svg, friendlyName=Open preview</x:v>
      </x:c>
      <x:c r="M34" s="7" t="e">
        <x:f>HYPERLINK("previews/D13_changed_boy_consequence.svg","Open preview")</x:f>
        <x:v>HYPERLINK is not implemented. linkLocation=previews/D13_changed_boy_consequence.svg, friendlyName=Open preview</x:v>
      </x:c>
      <x:c r="N34" s="7" t="e">
        <x:f>HYPERLINK("previews/D13_changed_girl_decision.svg","Open preview")</x:f>
        <x:v>HYPERLINK is not implemented. linkLocation=previews/D13_changed_girl_decision.svg, friendlyName=Open preview</x:v>
      </x:c>
      <x:c r="O34" s="7" t="e">
        <x:f>HYPERLINK("previews/D13_changed_girl_consequence.svg","Open preview")</x:f>
        <x:v>HYPERLINK is not implemented. linkLocation=previews/D13_changed_girl_consequence.svg, friendlyName=Open preview</x:v>
      </x:c>
    </x:row>
    <x:row r="35" ht="70" customHeight="1">
      <x:c r="A35" s="7" t="str">
        <x:v>D14</x:v>
      </x:c>
      <x:c r="B35" s="7" t="str">
        <x:v>base</x:v>
      </x:c>
      <x:c r="C35" s="7" t="str">
        <x:v>One defender blocks pass; dribble route remains open.
Identify pressure, support and the next threat before selecting.</x:v>
      </x:c>
      <x:c r="D35" s="8" t="str">
        <x:v>Pending</x:v>
      </x:c>
      <x:c r="E35" s="8" t="str">
        <x:v>Pending</x:v>
      </x:c>
      <x:c r="F35" s="8" t="str">
        <x:v>Pending</x:v>
      </x:c>
      <x:c r="G35" s="8" t="str">
        <x:v>Pending</x:v>
      </x:c>
      <x:c r="H35" s="8" t="str">
        <x:v>Pending</x:v>
      </x:c>
      <x:c r="I35" s="8" t="str">
        <x:v>Pending</x:v>
      </x:c>
      <x:c r="J35" s="7" t="str">
        <x:f>IF(COUNTIFS(D35:I35,"Pass")=6,"Passed","Review needed")</x:f>
        <x:v>Review needed</x:v>
      </x:c>
      <x:c r="K35" s="8" t="str"/>
      <x:c r="L35" s="7" t="e">
        <x:f>HYPERLINK("previews/D14_base_boy_decision.svg","Open preview")</x:f>
        <x:v>HYPERLINK is not implemented. linkLocation=previews/D14_base_boy_decision.svg, friendlyName=Open preview</x:v>
      </x:c>
      <x:c r="M35" s="7" t="e">
        <x:f>HYPERLINK("previews/D14_base_boy_consequence.svg","Open preview")</x:f>
        <x:v>HYPERLINK is not implemented. linkLocation=previews/D14_base_boy_consequence.svg, friendlyName=Open preview</x:v>
      </x:c>
      <x:c r="N35" s="7" t="e">
        <x:f>HYPERLINK("previews/D14_base_girl_decision.svg","Open preview")</x:f>
        <x:v>HYPERLINK is not implemented. linkLocation=previews/D14_base_girl_decision.svg, friendlyName=Open preview</x:v>
      </x:c>
      <x:c r="O35" s="7" t="e">
        <x:f>HYPERLINK("previews/D14_base_girl_consequence.svg","Open preview")</x:f>
        <x:v>HYPERLINK is not implemented. linkLocation=previews/D14_base_girl_consequence.svg, friendlyName=Open preview</x:v>
      </x:c>
    </x:row>
    <x:row r="36" ht="70" customHeight="1">
      <x:c r="A36" s="7" t="str">
        <x:v>D14</x:v>
      </x:c>
      <x:c r="B36" s="7" t="str">
        <x:v>changed</x:v>
      </x:c>
      <x:c r="C36" s="7" t="str">
        <x:v>The defender commits to the carrier; the striker is now free to receive.
Identify pressure, support and the next threat before selecting.</x:v>
      </x:c>
      <x:c r="D36" s="8" t="str">
        <x:v>Pending</x:v>
      </x:c>
      <x:c r="E36" s="8" t="str">
        <x:v>Pending</x:v>
      </x:c>
      <x:c r="F36" s="8" t="str">
        <x:v>Pending</x:v>
      </x:c>
      <x:c r="G36" s="8" t="str">
        <x:v>Pending</x:v>
      </x:c>
      <x:c r="H36" s="8" t="str">
        <x:v>Pending</x:v>
      </x:c>
      <x:c r="I36" s="8" t="str">
        <x:v>Pending</x:v>
      </x:c>
      <x:c r="J36" s="7" t="str">
        <x:f>IF(COUNTIFS(D36:I36,"Pass")=6,"Passed","Review needed")</x:f>
        <x:v>Review needed</x:v>
      </x:c>
      <x:c r="K36" s="8" t="str"/>
      <x:c r="L36" s="7" t="e">
        <x:f>HYPERLINK("previews/D14_changed_boy_decision.svg","Open preview")</x:f>
        <x:v>HYPERLINK is not implemented. linkLocation=previews/D14_changed_boy_decision.svg, friendlyName=Open preview</x:v>
      </x:c>
      <x:c r="M36" s="7" t="e">
        <x:f>HYPERLINK("previews/D14_changed_boy_consequence.svg","Open preview")</x:f>
        <x:v>HYPERLINK is not implemented. linkLocation=previews/D14_changed_boy_consequence.svg, friendlyName=Open preview</x:v>
      </x:c>
      <x:c r="N36" s="7" t="e">
        <x:f>HYPERLINK("previews/D14_changed_girl_decision.svg","Open preview")</x:f>
        <x:v>HYPERLINK is not implemented. linkLocation=previews/D14_changed_girl_decision.svg, friendlyName=Open preview</x:v>
      </x:c>
      <x:c r="O36" s="7" t="e">
        <x:f>HYPERLINK("previews/D14_changed_girl_consequence.svg","Open preview")</x:f>
        <x:v>HYPERLINK is not implemented. linkLocation=previews/D14_changed_girl_consequence.svg, friendlyName=Open preview</x:v>
      </x:c>
    </x:row>
    <x:row r="37" ht="70" customHeight="1">
      <x:c r="A37" s="7" t="str">
        <x:v>D15</x:v>
      </x:c>
      <x:c r="B37" s="7" t="str">
        <x:v>base</x:v>
      </x:c>
      <x:c r="C37" s="7" t="str">
        <x:v>Carrier can shoot; striker attacks near side.
Identify pressure, support and the next threat before selecting.</x:v>
      </x:c>
      <x:c r="D37" s="8" t="str">
        <x:v>Pending</x:v>
      </x:c>
      <x:c r="E37" s="8" t="str">
        <x:v>Pending</x:v>
      </x:c>
      <x:c r="F37" s="8" t="str">
        <x:v>Pending</x:v>
      </x:c>
      <x:c r="G37" s="8" t="str">
        <x:v>Pending</x:v>
      </x:c>
      <x:c r="H37" s="8" t="str">
        <x:v>Pending</x:v>
      </x:c>
      <x:c r="I37" s="8" t="str">
        <x:v>Pending</x:v>
      </x:c>
      <x:c r="J37" s="7" t="str">
        <x:f>IF(COUNTIFS(D37:I37,"Pass")=6,"Passed","Review needed")</x:f>
        <x:v>Review needed</x:v>
      </x:c>
      <x:c r="K37" s="8" t="str"/>
      <x:c r="L37" s="7" t="e">
        <x:f>HYPERLINK("previews/D15_base_boy_decision.svg","Open preview")</x:f>
        <x:v>HYPERLINK is not implemented. linkLocation=previews/D15_base_boy_decision.svg, friendlyName=Open preview</x:v>
      </x:c>
      <x:c r="M37" s="7" t="e">
        <x:f>HYPERLINK("previews/D15_base_boy_consequence.svg","Open preview")</x:f>
        <x:v>HYPERLINK is not implemented. linkLocation=previews/D15_base_boy_consequence.svg, friendlyName=Open preview</x:v>
      </x:c>
      <x:c r="N37" s="7" t="e">
        <x:f>HYPERLINK("previews/D15_base_girl_decision.svg","Open preview")</x:f>
        <x:v>HYPERLINK is not implemented. linkLocation=previews/D15_base_girl_decision.svg, friendlyName=Open preview</x:v>
      </x:c>
      <x:c r="O37" s="7" t="e">
        <x:f>HYPERLINK("previews/D15_base_girl_consequence.svg","Open preview")</x:f>
        <x:v>HYPERLINK is not implemented. linkLocation=previews/D15_base_girl_consequence.svg, friendlyName=Open preview</x:v>
      </x:c>
    </x:row>
    <x:row r="38" ht="70" customHeight="1">
      <x:c r="A38" s="7" t="str">
        <x:v>D15</x:v>
      </x:c>
      <x:c r="B38" s="7" t="str">
        <x:v>changed</x:v>
      </x:c>
      <x:c r="C38" s="7" t="str">
        <x:v>Your proposed run now crosses the shooting lane; do not obstruct the carrier.
Identify pressure, support and the next threat before selecting.</x:v>
      </x:c>
      <x:c r="D38" s="8" t="str">
        <x:v>Pending</x:v>
      </x:c>
      <x:c r="E38" s="8" t="str">
        <x:v>Pending</x:v>
      </x:c>
      <x:c r="F38" s="8" t="str">
        <x:v>Pending</x:v>
      </x:c>
      <x:c r="G38" s="8" t="str">
        <x:v>Pending</x:v>
      </x:c>
      <x:c r="H38" s="8" t="str">
        <x:v>Pending</x:v>
      </x:c>
      <x:c r="I38" s="8" t="str">
        <x:v>Pending</x:v>
      </x:c>
      <x:c r="J38" s="7" t="str">
        <x:f>IF(COUNTIFS(D38:I38,"Pass")=6,"Passed","Review needed")</x:f>
        <x:v>Review needed</x:v>
      </x:c>
      <x:c r="K38" s="8" t="str"/>
      <x:c r="L38" s="7" t="e">
        <x:f>HYPERLINK("previews/D15_changed_boy_decision.svg","Open preview")</x:f>
        <x:v>HYPERLINK is not implemented. linkLocation=previews/D15_changed_boy_decision.svg, friendlyName=Open preview</x:v>
      </x:c>
      <x:c r="M38" s="7" t="e">
        <x:f>HYPERLINK("previews/D15_changed_boy_consequence.svg","Open preview")</x:f>
        <x:v>HYPERLINK is not implemented. linkLocation=previews/D15_changed_boy_consequence.svg, friendlyName=Open preview</x:v>
      </x:c>
      <x:c r="N38" s="7" t="e">
        <x:f>HYPERLINK("previews/D15_changed_girl_decision.svg","Open preview")</x:f>
        <x:v>HYPERLINK is not implemented. linkLocation=previews/D15_changed_girl_decision.svg, friendlyName=Open preview</x:v>
      </x:c>
      <x:c r="O38" s="7" t="e">
        <x:f>HYPERLINK("previews/D15_changed_girl_consequence.svg","Open preview")</x:f>
        <x:v>HYPERLINK is not implemented. linkLocation=previews/D15_changed_girl_consequence.svg, friendlyName=Open preview</x:v>
      </x:c>
    </x:row>
    <x:row r="39" ht="70" customHeight="1">
      <x:c r="A39" s="7" t="str">
        <x:v>D16</x:v>
      </x:c>
      <x:c r="B39" s="7" t="str">
        <x:v>base</x:v>
      </x:c>
      <x:c r="C39" s="7" t="str">
        <x:v>Shot lane is blocked; teammate has a clear lane.
Identify pressure, support and the next threat before selecting.</x:v>
      </x:c>
      <x:c r="D39" s="8" t="str">
        <x:v>Pending</x:v>
      </x:c>
      <x:c r="E39" s="8" t="str">
        <x:v>Pending</x:v>
      </x:c>
      <x:c r="F39" s="8" t="str">
        <x:v>Pending</x:v>
      </x:c>
      <x:c r="G39" s="8" t="str">
        <x:v>Pending</x:v>
      </x:c>
      <x:c r="H39" s="8" t="str">
        <x:v>Pending</x:v>
      </x:c>
      <x:c r="I39" s="8" t="str">
        <x:v>Pending</x:v>
      </x:c>
      <x:c r="J39" s="7" t="str">
        <x:f>IF(COUNTIFS(D39:I39,"Pass")=6,"Passed","Review needed")</x:f>
        <x:v>Review needed</x:v>
      </x:c>
      <x:c r="K39" s="8" t="str"/>
      <x:c r="L39" s="7" t="e">
        <x:f>HYPERLINK("previews/D16_base_boy_decision.svg","Open preview")</x:f>
        <x:v>HYPERLINK is not implemented. linkLocation=previews/D16_base_boy_decision.svg, friendlyName=Open preview</x:v>
      </x:c>
      <x:c r="M39" s="7" t="e">
        <x:f>HYPERLINK("previews/D16_base_boy_consequence.svg","Open preview")</x:f>
        <x:v>HYPERLINK is not implemented. linkLocation=previews/D16_base_boy_consequence.svg, friendlyName=Open preview</x:v>
      </x:c>
      <x:c r="N39" s="7" t="e">
        <x:f>HYPERLINK("previews/D16_base_girl_decision.svg","Open preview")</x:f>
        <x:v>HYPERLINK is not implemented. linkLocation=previews/D16_base_girl_decision.svg, friendlyName=Open preview</x:v>
      </x:c>
      <x:c r="O39" s="7" t="e">
        <x:f>HYPERLINK("previews/D16_base_girl_consequence.svg","Open preview")</x:f>
        <x:v>HYPERLINK is not implemented. linkLocation=previews/D16_base_girl_consequence.svg, friendlyName=Open preview</x:v>
      </x:c>
    </x:row>
    <x:row r="40" ht="70" customHeight="1">
      <x:c r="A40" s="7" t="str">
        <x:v>D16</x:v>
      </x:c>
      <x:c r="B40" s="7" t="str">
        <x:v>changed</x:v>
      </x:c>
      <x:c r="C40" s="7" t="str">
        <x:v>The blocker has moved away; the shot route is available, although the pass remains valid.
Identify pressure, support and the next threat before selecting.</x:v>
      </x:c>
      <x:c r="D40" s="8" t="str">
        <x:v>Pending</x:v>
      </x:c>
      <x:c r="E40" s="8" t="str">
        <x:v>Pending</x:v>
      </x:c>
      <x:c r="F40" s="8" t="str">
        <x:v>Pending</x:v>
      </x:c>
      <x:c r="G40" s="8" t="str">
        <x:v>Pending</x:v>
      </x:c>
      <x:c r="H40" s="8" t="str">
        <x:v>Pending</x:v>
      </x:c>
      <x:c r="I40" s="8" t="str">
        <x:v>Pending</x:v>
      </x:c>
      <x:c r="J40" s="7" t="str">
        <x:f>IF(COUNTIFS(D40:I40,"Pass")=6,"Passed","Review needed")</x:f>
        <x:v>Review needed</x:v>
      </x:c>
      <x:c r="K40" s="8" t="str"/>
      <x:c r="L40" s="7" t="e">
        <x:f>HYPERLINK("previews/D16_changed_boy_decision.svg","Open preview")</x:f>
        <x:v>HYPERLINK is not implemented. linkLocation=previews/D16_changed_boy_decision.svg, friendlyName=Open preview</x:v>
      </x:c>
      <x:c r="M40" s="7" t="e">
        <x:f>HYPERLINK("previews/D16_changed_boy_consequence.svg","Open preview")</x:f>
        <x:v>HYPERLINK is not implemented. linkLocation=previews/D16_changed_boy_consequence.svg, friendlyName=Open preview</x:v>
      </x:c>
      <x:c r="N40" s="7" t="e">
        <x:f>HYPERLINK("previews/D16_changed_girl_decision.svg","Open preview")</x:f>
        <x:v>HYPERLINK is not implemented. linkLocation=previews/D16_changed_girl_decision.svg, friendlyName=Open preview</x:v>
      </x:c>
      <x:c r="O40" s="7" t="e">
        <x:f>HYPERLINK("previews/D16_changed_girl_consequence.svg","Open preview")</x:f>
        <x:v>HYPERLINK is not implemented. linkLocation=previews/D16_changed_girl_consequence.svg, friendlyName=Open preview</x:v>
      </x:c>
    </x:row>
    <x:row r="41" ht="70" customHeight="1">
      <x:c r="A41" s="7" t="str">
        <x:v>D17</x:v>
      </x:c>
      <x:c r="B41" s="7" t="str">
        <x:v>base</x:v>
      </x:c>
      <x:c r="C41" s="7" t="str">
        <x:v>Wide carrier looks up; near-side lane is vacant.
Identify pressure, support and the next threat before selecting.</x:v>
      </x:c>
      <x:c r="D41" s="8" t="str">
        <x:v>Pending</x:v>
      </x:c>
      <x:c r="E41" s="8" t="str">
        <x:v>Pending</x:v>
      </x:c>
      <x:c r="F41" s="8" t="str">
        <x:v>Pending</x:v>
      </x:c>
      <x:c r="G41" s="8" t="str">
        <x:v>Pending</x:v>
      </x:c>
      <x:c r="H41" s="8" t="str">
        <x:v>Pending</x:v>
      </x:c>
      <x:c r="I41" s="8" t="str">
        <x:v>Pending</x:v>
      </x:c>
      <x:c r="J41" s="7" t="str">
        <x:f>IF(COUNTIFS(D41:I41,"Pass")=6,"Passed","Review needed")</x:f>
        <x:v>Review needed</x:v>
      </x:c>
      <x:c r="K41" s="8" t="str"/>
      <x:c r="L41" s="7" t="e">
        <x:f>HYPERLINK("previews/D17_base_boy_decision.svg","Open preview")</x:f>
        <x:v>HYPERLINK is not implemented. linkLocation=previews/D17_base_boy_decision.svg, friendlyName=Open preview</x:v>
      </x:c>
      <x:c r="M41" s="7" t="e">
        <x:f>HYPERLINK("previews/D17_base_boy_consequence.svg","Open preview")</x:f>
        <x:v>HYPERLINK is not implemented. linkLocation=previews/D17_base_boy_consequence.svg, friendlyName=Open preview</x:v>
      </x:c>
      <x:c r="N41" s="7" t="e">
        <x:f>HYPERLINK("previews/D17_base_girl_decision.svg","Open preview")</x:f>
        <x:v>HYPERLINK is not implemented. linkLocation=previews/D17_base_girl_decision.svg, friendlyName=Open preview</x:v>
      </x:c>
      <x:c r="O41" s="7" t="e">
        <x:f>HYPERLINK("previews/D17_base_girl_consequence.svg","Open preview")</x:f>
        <x:v>HYPERLINK is not implemented. linkLocation=previews/D17_base_girl_consequence.svg, friendlyName=Open preview</x:v>
      </x:c>
    </x:row>
    <x:row r="42" ht="70" customHeight="1">
      <x:c r="A42" s="7" t="str">
        <x:v>D17</x:v>
      </x:c>
      <x:c r="B42" s="7" t="str">
        <x:v>changed</x:v>
      </x:c>
      <x:c r="C42" s="7" t="str">
        <x:v>A teammate occupies the near-side lane; select a different arrival lane.
Identify pressure, support and the next threat before selecting.</x:v>
      </x:c>
      <x:c r="D42" s="8" t="str">
        <x:v>Pending</x:v>
      </x:c>
      <x:c r="E42" s="8" t="str">
        <x:v>Pending</x:v>
      </x:c>
      <x:c r="F42" s="8" t="str">
        <x:v>Pending</x:v>
      </x:c>
      <x:c r="G42" s="8" t="str">
        <x:v>Pending</x:v>
      </x:c>
      <x:c r="H42" s="8" t="str">
        <x:v>Pending</x:v>
      </x:c>
      <x:c r="I42" s="8" t="str">
        <x:v>Pending</x:v>
      </x:c>
      <x:c r="J42" s="7" t="str">
        <x:f>IF(COUNTIFS(D42:I42,"Pass")=6,"Passed","Review needed")</x:f>
        <x:v>Review needed</x:v>
      </x:c>
      <x:c r="K42" s="8" t="str"/>
      <x:c r="L42" s="7" t="e">
        <x:f>HYPERLINK("previews/D17_changed_boy_decision.svg","Open preview")</x:f>
        <x:v>HYPERLINK is not implemented. linkLocation=previews/D17_changed_boy_decision.svg, friendlyName=Open preview</x:v>
      </x:c>
      <x:c r="M42" s="7" t="e">
        <x:f>HYPERLINK("previews/D17_changed_boy_consequence.svg","Open preview")</x:f>
        <x:v>HYPERLINK is not implemented. linkLocation=previews/D17_changed_boy_consequence.svg, friendlyName=Open preview</x:v>
      </x:c>
      <x:c r="N42" s="7" t="e">
        <x:f>HYPERLINK("previews/D17_changed_girl_decision.svg","Open preview")</x:f>
        <x:v>HYPERLINK is not implemented. linkLocation=previews/D17_changed_girl_decision.svg, friendlyName=Open preview</x:v>
      </x:c>
      <x:c r="O42" s="7" t="e">
        <x:f>HYPERLINK("previews/D17_changed_girl_consequence.svg","Open preview")</x:f>
        <x:v>HYPERLINK is not implemented. linkLocation=previews/D17_changed_girl_consequence.svg, friendlyName=Open preview</x:v>
      </x:c>
    </x:row>
    <x:row r="43" ht="70" customHeight="1">
      <x:c r="A43" s="7" t="str">
        <x:v>D18</x:v>
      </x:c>
      <x:c r="B43" s="7" t="str">
        <x:v>base</x:v>
      </x:c>
      <x:c r="C43" s="7" t="str">
        <x:v>Two attackers already occupy finishing lanes.
Identify pressure, support and the next threat before selecting.</x:v>
      </x:c>
      <x:c r="D43" s="8" t="str">
        <x:v>Pending</x:v>
      </x:c>
      <x:c r="E43" s="8" t="str">
        <x:v>Pending</x:v>
      </x:c>
      <x:c r="F43" s="8" t="str">
        <x:v>Pending</x:v>
      </x:c>
      <x:c r="G43" s="8" t="str">
        <x:v>Pending</x:v>
      </x:c>
      <x:c r="H43" s="8" t="str">
        <x:v>Pending</x:v>
      </x:c>
      <x:c r="I43" s="8" t="str">
        <x:v>Pending</x:v>
      </x:c>
      <x:c r="J43" s="7" t="str">
        <x:f>IF(COUNTIFS(D43:I43,"Pass")=6,"Passed","Review needed")</x:f>
        <x:v>Review needed</x:v>
      </x:c>
      <x:c r="K43" s="8" t="str"/>
      <x:c r="L43" s="7" t="e">
        <x:f>HYPERLINK("previews/D18_base_boy_decision.svg","Open preview")</x:f>
        <x:v>HYPERLINK is not implemented. linkLocation=previews/D18_base_boy_decision.svg, friendlyName=Open preview</x:v>
      </x:c>
      <x:c r="M43" s="7" t="e">
        <x:f>HYPERLINK("previews/D18_base_boy_consequence.svg","Open preview")</x:f>
        <x:v>HYPERLINK is not implemented. linkLocation=previews/D18_base_boy_consequence.svg, friendlyName=Open preview</x:v>
      </x:c>
      <x:c r="N43" s="7" t="e">
        <x:f>HYPERLINK("previews/D18_base_girl_decision.svg","Open preview")</x:f>
        <x:v>HYPERLINK is not implemented. linkLocation=previews/D18_base_girl_decision.svg, friendlyName=Open preview</x:v>
      </x:c>
      <x:c r="O43" s="7" t="e">
        <x:f>HYPERLINK("previews/D18_base_girl_consequence.svg","Open preview")</x:f>
        <x:v>HYPERLINK is not implemented. linkLocation=previews/D18_base_girl_consequence.svg, friendlyName=Open preview</x:v>
      </x:c>
    </x:row>
    <x:row r="44" ht="70" customHeight="1">
      <x:c r="A44" s="7" t="str">
        <x:v>D18</x:v>
      </x:c>
      <x:c r="B44" s="7" t="str">
        <x:v>changed</x:v>
      </x:c>
      <x:c r="C44" s="7" t="str">
        <x:v>The holding midfielder has advanced; an opponent is available behind the attack.
Identify pressure, support and the next threat before selecting.</x:v>
      </x:c>
      <x:c r="D44" s="8" t="str">
        <x:v>Pending</x:v>
      </x:c>
      <x:c r="E44" s="8" t="str">
        <x:v>Pending</x:v>
      </x:c>
      <x:c r="F44" s="8" t="str">
        <x:v>Pending</x:v>
      </x:c>
      <x:c r="G44" s="8" t="str">
        <x:v>Pending</x:v>
      </x:c>
      <x:c r="H44" s="8" t="str">
        <x:v>Pending</x:v>
      </x:c>
      <x:c r="I44" s="8" t="str">
        <x:v>Pending</x:v>
      </x:c>
      <x:c r="J44" s="7" t="str">
        <x:f>IF(COUNTIFS(D44:I44,"Pass")=6,"Passed","Review needed")</x:f>
        <x:v>Review needed</x:v>
      </x:c>
      <x:c r="K44" s="8" t="str"/>
      <x:c r="L44" s="7" t="e">
        <x:f>HYPERLINK("previews/D18_changed_boy_decision.svg","Open preview")</x:f>
        <x:v>HYPERLINK is not implemented. linkLocation=previews/D18_changed_boy_decision.svg, friendlyName=Open preview</x:v>
      </x:c>
      <x:c r="M44" s="7" t="e">
        <x:f>HYPERLINK("previews/D18_changed_boy_consequence.svg","Open preview")</x:f>
        <x:v>HYPERLINK is not implemented. linkLocation=previews/D18_changed_boy_consequence.svg, friendlyName=Open preview</x:v>
      </x:c>
      <x:c r="N44" s="7" t="e">
        <x:f>HYPERLINK("previews/D18_changed_girl_decision.svg","Open preview")</x:f>
        <x:v>HYPERLINK is not implemented. linkLocation=previews/D18_changed_girl_decision.svg, friendlyName=Open preview</x:v>
      </x:c>
      <x:c r="O44" s="7" t="e">
        <x:f>HYPERLINK("previews/D18_changed_girl_consequence.svg","Open preview")</x:f>
        <x:v>HYPERLINK is not implemented. linkLocation=previews/D18_changed_girl_consequence.svg, friendlyName=Open preview</x:v>
      </x:c>
    </x:row>
    <x:row r="45" ht="70" customHeight="1">
      <x:c r="A45" s="7" t="str">
        <x:v>D19</x:v>
      </x:c>
      <x:c r="B45" s="7" t="str">
        <x:v>base</x:v>
      </x:c>
      <x:c r="C45" s="7" t="str">
        <x:v>Poor touch is reachable; central support is set.
Identify pressure, support and the next threat before selecting.</x:v>
      </x:c>
      <x:c r="D45" s="8" t="str">
        <x:v>Pending</x:v>
      </x:c>
      <x:c r="E45" s="8" t="str">
        <x:v>Pending</x:v>
      </x:c>
      <x:c r="F45" s="8" t="str">
        <x:v>Pending</x:v>
      </x:c>
      <x:c r="G45" s="8" t="str">
        <x:v>Pending</x:v>
      </x:c>
      <x:c r="H45" s="8" t="str">
        <x:v>Pending</x:v>
      </x:c>
      <x:c r="I45" s="8" t="str">
        <x:v>Pending</x:v>
      </x:c>
      <x:c r="J45" s="7" t="str">
        <x:f>IF(COUNTIFS(D45:I45,"Pass")=6,"Passed","Review needed")</x:f>
        <x:v>Review needed</x:v>
      </x:c>
      <x:c r="K45" s="8" t="str"/>
      <x:c r="L45" s="7" t="e">
        <x:f>HYPERLINK("previews/D19_base_boy_decision.svg","Open preview")</x:f>
        <x:v>HYPERLINK is not implemented. linkLocation=previews/D19_base_boy_decision.svg, friendlyName=Open preview</x:v>
      </x:c>
      <x:c r="M45" s="7" t="e">
        <x:f>HYPERLINK("previews/D19_base_boy_consequence.svg","Open preview")</x:f>
        <x:v>HYPERLINK is not implemented. linkLocation=previews/D19_base_boy_consequence.svg, friendlyName=Open preview</x:v>
      </x:c>
      <x:c r="N45" s="7" t="e">
        <x:f>HYPERLINK("previews/D19_base_girl_decision.svg","Open preview")</x:f>
        <x:v>HYPERLINK is not implemented. linkLocation=previews/D19_base_girl_decision.svg, friendlyName=Open preview</x:v>
      </x:c>
      <x:c r="O45" s="7" t="e">
        <x:f>HYPERLINK("previews/D19_base_girl_consequence.svg","Open preview")</x:f>
        <x:v>HYPERLINK is not implemented. linkLocation=previews/D19_base_girl_consequence.svg, friendlyName=Open preview</x:v>
      </x:c>
    </x:row>
    <x:row r="46" ht="70" customHeight="1">
      <x:c r="A46" s="7" t="str">
        <x:v>D19</x:v>
      </x:c>
      <x:c r="B46" s="7" t="str">
        <x:v>changed</x:v>
      </x:c>
      <x:c r="C46" s="7" t="str">
        <x:v>The opponent has secured the touch before you arrive; the loose-ball cue has expired.
Identify pressure, support and the next threat before selecting.</x:v>
      </x:c>
      <x:c r="D46" s="8" t="str">
        <x:v>Pending</x:v>
      </x:c>
      <x:c r="E46" s="8" t="str">
        <x:v>Pending</x:v>
      </x:c>
      <x:c r="F46" s="8" t="str">
        <x:v>Pending</x:v>
      </x:c>
      <x:c r="G46" s="8" t="str">
        <x:v>Pending</x:v>
      </x:c>
      <x:c r="H46" s="8" t="str">
        <x:v>Pending</x:v>
      </x:c>
      <x:c r="I46" s="8" t="str">
        <x:v>Pending</x:v>
      </x:c>
      <x:c r="J46" s="7" t="str">
        <x:f>IF(COUNTIFS(D46:I46,"Pass")=6,"Passed","Review needed")</x:f>
        <x:v>Review needed</x:v>
      </x:c>
      <x:c r="K46" s="8" t="str"/>
      <x:c r="L46" s="7" t="e">
        <x:f>HYPERLINK("previews/D19_changed_boy_decision.svg","Open preview")</x:f>
        <x:v>HYPERLINK is not implemented. linkLocation=previews/D19_changed_boy_decision.svg, friendlyName=Open preview</x:v>
      </x:c>
      <x:c r="M46" s="7" t="e">
        <x:f>HYPERLINK("previews/D19_changed_boy_consequence.svg","Open preview")</x:f>
        <x:v>HYPERLINK is not implemented. linkLocation=previews/D19_changed_boy_consequence.svg, friendlyName=Open preview</x:v>
      </x:c>
      <x:c r="N46" s="7" t="e">
        <x:f>HYPERLINK("previews/D19_changed_girl_decision.svg","Open preview")</x:f>
        <x:v>HYPERLINK is not implemented. linkLocation=previews/D19_changed_girl_decision.svg, friendlyName=Open preview</x:v>
      </x:c>
      <x:c r="O46" s="7" t="e">
        <x:f>HYPERLINK("previews/D19_changed_girl_consequence.svg","Open preview")</x:f>
        <x:v>HYPERLINK is not implemented. linkLocation=previews/D19_changed_girl_consequence.svg, friendlyName=Open preview</x:v>
      </x:c>
    </x:row>
    <x:row r="47" ht="70" customHeight="1">
      <x:c r="A47" s="7" t="str">
        <x:v>D20</x:v>
      </x:c>
      <x:c r="B47" s="7" t="str">
        <x:v>base</x:v>
      </x:c>
      <x:c r="C47" s="7" t="str">
        <x:v>Striker presses; inside receiver is free.
Identify pressure, support and the next threat before selecting.</x:v>
      </x:c>
      <x:c r="D47" s="8" t="str">
        <x:v>Pending</x:v>
      </x:c>
      <x:c r="E47" s="8" t="str">
        <x:v>Pending</x:v>
      </x:c>
      <x:c r="F47" s="8" t="str">
        <x:v>Pending</x:v>
      </x:c>
      <x:c r="G47" s="8" t="str">
        <x:v>Pending</x:v>
      </x:c>
      <x:c r="H47" s="8" t="str">
        <x:v>Pending</x:v>
      </x:c>
      <x:c r="I47" s="8" t="str">
        <x:v>Pending</x:v>
      </x:c>
      <x:c r="J47" s="7" t="str">
        <x:f>IF(COUNTIFS(D47:I47,"Pass")=6,"Passed","Review needed")</x:f>
        <x:v>Review needed</x:v>
      </x:c>
      <x:c r="K47" s="8" t="str"/>
      <x:c r="L47" s="7" t="e">
        <x:f>HYPERLINK("previews/D20_base_boy_decision.svg","Open preview")</x:f>
        <x:v>HYPERLINK is not implemented. linkLocation=previews/D20_base_boy_decision.svg, friendlyName=Open preview</x:v>
      </x:c>
      <x:c r="M47" s="7" t="e">
        <x:f>HYPERLINK("previews/D20_base_boy_consequence.svg","Open preview")</x:f>
        <x:v>HYPERLINK is not implemented. linkLocation=previews/D20_base_boy_consequence.svg, friendlyName=Open preview</x:v>
      </x:c>
      <x:c r="N47" s="7" t="e">
        <x:f>HYPERLINK("previews/D20_base_girl_decision.svg","Open preview")</x:f>
        <x:v>HYPERLINK is not implemented. linkLocation=previews/D20_base_girl_decision.svg, friendlyName=Open preview</x:v>
      </x:c>
      <x:c r="O47" s="7" t="e">
        <x:f>HYPERLINK("previews/D20_base_girl_consequence.svg","Open preview")</x:f>
        <x:v>HYPERLINK is not implemented. linkLocation=previews/D20_base_girl_consequence.svg, friendlyName=Open preview</x:v>
      </x:c>
    </x:row>
    <x:row r="48" ht="70" customHeight="1">
      <x:c r="A48" s="7" t="str">
        <x:v>D20</x:v>
      </x:c>
      <x:c r="B48" s="7" t="str">
        <x:v>changed</x:v>
      </x:c>
      <x:c r="C48" s="7" t="str">
        <x:v>The carrier has escaped the striker toward you; take pressure while ST recovers.
Identify pressure, support and the next threat before selecting.</x:v>
      </x:c>
      <x:c r="D48" s="8" t="str">
        <x:v>Pending</x:v>
      </x:c>
      <x:c r="E48" s="8" t="str">
        <x:v>Pending</x:v>
      </x:c>
      <x:c r="F48" s="8" t="str">
        <x:v>Pending</x:v>
      </x:c>
      <x:c r="G48" s="8" t="str">
        <x:v>Pending</x:v>
      </x:c>
      <x:c r="H48" s="8" t="str">
        <x:v>Pending</x:v>
      </x:c>
      <x:c r="I48" s="8" t="str">
        <x:v>Pending</x:v>
      </x:c>
      <x:c r="J48" s="7" t="str">
        <x:f>IF(COUNTIFS(D48:I48,"Pass")=6,"Passed","Review needed")</x:f>
        <x:v>Review needed</x:v>
      </x:c>
      <x:c r="K48" s="8" t="str"/>
      <x:c r="L48" s="7" t="e">
        <x:f>HYPERLINK("previews/D20_changed_boy_decision.svg","Open preview")</x:f>
        <x:v>HYPERLINK is not implemented. linkLocation=previews/D20_changed_boy_decision.svg, friendlyName=Open preview</x:v>
      </x:c>
      <x:c r="M48" s="7" t="e">
        <x:f>HYPERLINK("previews/D20_changed_boy_consequence.svg","Open preview")</x:f>
        <x:v>HYPERLINK is not implemented. linkLocation=previews/D20_changed_boy_consequence.svg, friendlyName=Open preview</x:v>
      </x:c>
      <x:c r="N48" s="7" t="e">
        <x:f>HYPERLINK("previews/D20_changed_girl_decision.svg","Open preview")</x:f>
        <x:v>HYPERLINK is not implemented. linkLocation=previews/D20_changed_girl_decision.svg, friendlyName=Open preview</x:v>
      </x:c>
      <x:c r="O48" s="7" t="e">
        <x:f>HYPERLINK("previews/D20_changed_girl_consequence.svg","Open preview")</x:f>
        <x:v>HYPERLINK is not implemented. linkLocation=previews/D20_changed_girl_consequence.svg, friendlyName=Open preview</x:v>
      </x:c>
    </x:row>
    <x:row r="49" ht="70" customHeight="1">
      <x:c r="A49" s="7" t="str">
        <x:v>D21</x:v>
      </x:c>
      <x:c r="B49" s="7" t="str">
        <x:v>base</x:v>
      </x:c>
      <x:c r="C49" s="7" t="str">
        <x:v>Opponent escapes the first press.
Identify pressure, support and the next threat before selecting.</x:v>
      </x:c>
      <x:c r="D49" s="8" t="str">
        <x:v>Pending</x:v>
      </x:c>
      <x:c r="E49" s="8" t="str">
        <x:v>Pending</x:v>
      </x:c>
      <x:c r="F49" s="8" t="str">
        <x:v>Pending</x:v>
      </x:c>
      <x:c r="G49" s="8" t="str">
        <x:v>Pending</x:v>
      </x:c>
      <x:c r="H49" s="8" t="str">
        <x:v>Pending</x:v>
      </x:c>
      <x:c r="I49" s="8" t="str">
        <x:v>Pending</x:v>
      </x:c>
      <x:c r="J49" s="7" t="str">
        <x:f>IF(COUNTIFS(D49:I49,"Pass")=6,"Passed","Review needed")</x:f>
        <x:v>Review needed</x:v>
      </x:c>
      <x:c r="K49" s="8" t="str"/>
      <x:c r="L49" s="7" t="e">
        <x:f>HYPERLINK("previews/D21_base_boy_decision.svg","Open preview")</x:f>
        <x:v>HYPERLINK is not implemented. linkLocation=previews/D21_base_boy_decision.svg, friendlyName=Open preview</x:v>
      </x:c>
      <x:c r="M49" s="7" t="e">
        <x:f>HYPERLINK("previews/D21_base_boy_consequence.svg","Open preview")</x:f>
        <x:v>HYPERLINK is not implemented. linkLocation=previews/D21_base_boy_consequence.svg, friendlyName=Open preview</x:v>
      </x:c>
      <x:c r="N49" s="7" t="e">
        <x:f>HYPERLINK("previews/D21_base_girl_decision.svg","Open preview")</x:f>
        <x:v>HYPERLINK is not implemented. linkLocation=previews/D21_base_girl_decision.svg, friendlyName=Open preview</x:v>
      </x:c>
      <x:c r="O49" s="7" t="e">
        <x:f>HYPERLINK("previews/D21_base_girl_consequence.svg","Open preview")</x:f>
        <x:v>HYPERLINK is not implemented. linkLocation=previews/D21_base_girl_consequence.svg, friendlyName=Open preview</x:v>
      </x:c>
    </x:row>
    <x:row r="50" ht="70" customHeight="1">
      <x:c r="A50" s="7" t="str">
        <x:v>D21</x:v>
      </x:c>
      <x:c r="B50" s="7" t="str">
        <x:v>changed</x:v>
      </x:c>
      <x:c r="C50" s="7" t="str">
        <x:v>The ball is loose within reach and CM is now covering behind you.
Identify pressure, support and the next threat before selecting.</x:v>
      </x:c>
      <x:c r="D50" s="8" t="str">
        <x:v>Pending</x:v>
      </x:c>
      <x:c r="E50" s="8" t="str">
        <x:v>Pending</x:v>
      </x:c>
      <x:c r="F50" s="8" t="str">
        <x:v>Pending</x:v>
      </x:c>
      <x:c r="G50" s="8" t="str">
        <x:v>Pending</x:v>
      </x:c>
      <x:c r="H50" s="8" t="str">
        <x:v>Pending</x:v>
      </x:c>
      <x:c r="I50" s="8" t="str">
        <x:v>Pending</x:v>
      </x:c>
      <x:c r="J50" s="7" t="str">
        <x:f>IF(COUNTIFS(D50:I50,"Pass")=6,"Passed","Review needed")</x:f>
        <x:v>Review needed</x:v>
      </x:c>
      <x:c r="K50" s="8" t="str"/>
      <x:c r="L50" s="7" t="e">
        <x:f>HYPERLINK("previews/D21_changed_boy_decision.svg","Open preview")</x:f>
        <x:v>HYPERLINK is not implemented. linkLocation=previews/D21_changed_boy_decision.svg, friendlyName=Open preview</x:v>
      </x:c>
      <x:c r="M50" s="7" t="e">
        <x:f>HYPERLINK("previews/D21_changed_boy_consequence.svg","Open preview")</x:f>
        <x:v>HYPERLINK is not implemented. linkLocation=previews/D21_changed_boy_consequence.svg, friendlyName=Open preview</x:v>
      </x:c>
      <x:c r="N50" s="7" t="e">
        <x:f>HYPERLINK("previews/D21_changed_girl_decision.svg","Open preview")</x:f>
        <x:v>HYPERLINK is not implemented. linkLocation=previews/D21_changed_girl_decision.svg, friendlyName=Open preview</x:v>
      </x:c>
      <x:c r="O50" s="7" t="e">
        <x:f>HYPERLINK("previews/D21_changed_girl_consequence.svg","Open preview")</x:f>
        <x:v>HYPERLINK is not implemented. linkLocation=previews/D21_changed_girl_consequence.svg, friendlyName=Open preview</x:v>
      </x:c>
    </x:row>
    <x:row r="51" ht="70" customHeight="1">
      <x:c r="A51" s="7" t="str">
        <x:v>D22</x:v>
      </x:c>
      <x:c r="B51" s="7" t="str">
        <x:v>base</x:v>
      </x:c>
      <x:c r="C51" s="7" t="str">
        <x:v>Pass travels toward opposing outside back.
Identify pressure, support and the next threat before selecting.</x:v>
      </x:c>
      <x:c r="D51" s="8" t="str">
        <x:v>Pending</x:v>
      </x:c>
      <x:c r="E51" s="8" t="str">
        <x:v>Pending</x:v>
      </x:c>
      <x:c r="F51" s="8" t="str">
        <x:v>Pending</x:v>
      </x:c>
      <x:c r="G51" s="8" t="str">
        <x:v>Pending</x:v>
      </x:c>
      <x:c r="H51" s="8" t="str">
        <x:v>Pending</x:v>
      </x:c>
      <x:c r="I51" s="8" t="str">
        <x:v>Pending</x:v>
      </x:c>
      <x:c r="J51" s="7" t="str">
        <x:f>IF(COUNTIFS(D51:I51,"Pass")=6,"Passed","Review needed")</x:f>
        <x:v>Review needed</x:v>
      </x:c>
      <x:c r="K51" s="8" t="str"/>
      <x:c r="L51" s="7" t="e">
        <x:f>HYPERLINK("previews/D22_base_boy_decision.svg","Open preview")</x:f>
        <x:v>HYPERLINK is not implemented. linkLocation=previews/D22_base_boy_decision.svg, friendlyName=Open preview</x:v>
      </x:c>
      <x:c r="M51" s="7" t="e">
        <x:f>HYPERLINK("previews/D22_base_boy_consequence.svg","Open preview")</x:f>
        <x:v>HYPERLINK is not implemented. linkLocation=previews/D22_base_boy_consequence.svg, friendlyName=Open preview</x:v>
      </x:c>
      <x:c r="N51" s="7" t="e">
        <x:f>HYPERLINK("previews/D22_base_girl_decision.svg","Open preview")</x:f>
        <x:v>HYPERLINK is not implemented. linkLocation=previews/D22_base_girl_decision.svg, friendlyName=Open preview</x:v>
      </x:c>
      <x:c r="O51" s="7" t="e">
        <x:f>HYPERLINK("previews/D22_base_girl_consequence.svg","Open preview")</x:f>
        <x:v>HYPERLINK is not implemented. linkLocation=previews/D22_base_girl_consequence.svg, friendlyName=Open preview</x:v>
      </x:c>
    </x:row>
    <x:row r="52" ht="70" customHeight="1">
      <x:c r="A52" s="7" t="str">
        <x:v>D22</x:v>
      </x:c>
      <x:c r="B52" s="7" t="str">
        <x:v>changed</x:v>
      </x:c>
      <x:c r="C52" s="7" t="str">
        <x:v>Your inside support is detached; do not launch an isolated chase.
Identify pressure, support and the next threat before selecting.</x:v>
      </x:c>
      <x:c r="D52" s="8" t="str">
        <x:v>Pending</x:v>
      </x:c>
      <x:c r="E52" s="8" t="str">
        <x:v>Pending</x:v>
      </x:c>
      <x:c r="F52" s="8" t="str">
        <x:v>Pending</x:v>
      </x:c>
      <x:c r="G52" s="8" t="str">
        <x:v>Pending</x:v>
      </x:c>
      <x:c r="H52" s="8" t="str">
        <x:v>Pending</x:v>
      </x:c>
      <x:c r="I52" s="8" t="str">
        <x:v>Pending</x:v>
      </x:c>
      <x:c r="J52" s="7" t="str">
        <x:f>IF(COUNTIFS(D52:I52,"Pass")=6,"Passed","Review needed")</x:f>
        <x:v>Review needed</x:v>
      </x:c>
      <x:c r="K52" s="8" t="str"/>
      <x:c r="L52" s="7" t="e">
        <x:f>HYPERLINK("previews/D22_changed_boy_decision.svg","Open preview")</x:f>
        <x:v>HYPERLINK is not implemented. linkLocation=previews/D22_changed_boy_decision.svg, friendlyName=Open preview</x:v>
      </x:c>
      <x:c r="M52" s="7" t="e">
        <x:f>HYPERLINK("previews/D22_changed_boy_consequence.svg","Open preview")</x:f>
        <x:v>HYPERLINK is not implemented. linkLocation=previews/D22_changed_boy_consequence.svg, friendlyName=Open preview</x:v>
      </x:c>
      <x:c r="N52" s="7" t="e">
        <x:f>HYPERLINK("previews/D22_changed_girl_decision.svg","Open preview")</x:f>
        <x:v>HYPERLINK is not implemented. linkLocation=previews/D22_changed_girl_decision.svg, friendlyName=Open preview</x:v>
      </x:c>
      <x:c r="O52" s="7" t="e">
        <x:f>HYPERLINK("previews/D22_changed_girl_consequence.svg","Open preview")</x:f>
        <x:v>HYPERLINK is not implemented. linkLocation=previews/D22_changed_girl_consequence.svg, friendlyName=Open preview</x:v>
      </x:c>
    </x:row>
    <x:row r="53" ht="70" customHeight="1">
      <x:c r="A53" s="7" t="str">
        <x:v>D23</x:v>
      </x:c>
      <x:c r="B53" s="7" t="str">
        <x:v>base</x:v>
      </x:c>
      <x:c r="C53" s="7" t="str">
        <x:v>Ball is on the far side; central outlet is unmarked.
Identify pressure, support and the next threat before selecting.</x:v>
      </x:c>
      <x:c r="D53" s="8" t="str">
        <x:v>Pending</x:v>
      </x:c>
      <x:c r="E53" s="8" t="str">
        <x:v>Pending</x:v>
      </x:c>
      <x:c r="F53" s="8" t="str">
        <x:v>Pending</x:v>
      </x:c>
      <x:c r="G53" s="8" t="str">
        <x:v>Pending</x:v>
      </x:c>
      <x:c r="H53" s="8" t="str">
        <x:v>Pending</x:v>
      </x:c>
      <x:c r="I53" s="8" t="str">
        <x:v>Pending</x:v>
      </x:c>
      <x:c r="J53" s="7" t="str">
        <x:f>IF(COUNTIFS(D53:I53,"Pass")=6,"Passed","Review needed")</x:f>
        <x:v>Review needed</x:v>
      </x:c>
      <x:c r="K53" s="8" t="str"/>
      <x:c r="L53" s="7" t="e">
        <x:f>HYPERLINK("previews/D23_base_boy_decision.svg","Open preview")</x:f>
        <x:v>HYPERLINK is not implemented. linkLocation=previews/D23_base_boy_decision.svg, friendlyName=Open preview</x:v>
      </x:c>
      <x:c r="M53" s="7" t="e">
        <x:f>HYPERLINK("previews/D23_base_boy_consequence.svg","Open preview")</x:f>
        <x:v>HYPERLINK is not implemented. linkLocation=previews/D23_base_boy_consequence.svg, friendlyName=Open preview</x:v>
      </x:c>
      <x:c r="N53" s="7" t="e">
        <x:f>HYPERLINK("previews/D23_base_girl_decision.svg","Open preview")</x:f>
        <x:v>HYPERLINK is not implemented. linkLocation=previews/D23_base_girl_decision.svg, friendlyName=Open preview</x:v>
      </x:c>
      <x:c r="O53" s="7" t="e">
        <x:f>HYPERLINK("previews/D23_base_girl_consequence.svg","Open preview")</x:f>
        <x:v>HYPERLINK is not implemented. linkLocation=previews/D23_base_girl_consequence.svg, friendlyName=Open preview</x:v>
      </x:c>
    </x:row>
    <x:row r="54" ht="70" customHeight="1">
      <x:c r="A54" s="7" t="str">
        <x:v>D23</x:v>
      </x:c>
      <x:c r="B54" s="7" t="str">
        <x:v>changed</x:v>
      </x:c>
      <x:c r="C54" s="7" t="str">
        <x:v>The ball has switched to the opposite outside back; move as the new ball-side winger.
Identify pressure, support and the next threat before selecting.</x:v>
      </x:c>
      <x:c r="D54" s="8" t="str">
        <x:v>Pending</x:v>
      </x:c>
      <x:c r="E54" s="8" t="str">
        <x:v>Pending</x:v>
      </x:c>
      <x:c r="F54" s="8" t="str">
        <x:v>Pending</x:v>
      </x:c>
      <x:c r="G54" s="8" t="str">
        <x:v>Pending</x:v>
      </x:c>
      <x:c r="H54" s="8" t="str">
        <x:v>Pending</x:v>
      </x:c>
      <x:c r="I54" s="8" t="str">
        <x:v>Pending</x:v>
      </x:c>
      <x:c r="J54" s="7" t="str">
        <x:f>IF(COUNTIFS(D54:I54,"Pass")=6,"Passed","Review needed")</x:f>
        <x:v>Review needed</x:v>
      </x:c>
      <x:c r="K54" s="8" t="str"/>
      <x:c r="L54" s="7" t="e">
        <x:f>HYPERLINK("previews/D23_changed_boy_decision.svg","Open preview")</x:f>
        <x:v>HYPERLINK is not implemented. linkLocation=previews/D23_changed_boy_decision.svg, friendlyName=Open preview</x:v>
      </x:c>
      <x:c r="M54" s="7" t="e">
        <x:f>HYPERLINK("previews/D23_changed_boy_consequence.svg","Open preview")</x:f>
        <x:v>HYPERLINK is not implemented. linkLocation=previews/D23_changed_boy_consequence.svg, friendlyName=Open preview</x:v>
      </x:c>
      <x:c r="N54" s="7" t="e">
        <x:f>HYPERLINK("previews/D23_changed_girl_decision.svg","Open preview")</x:f>
        <x:v>HYPERLINK is not implemented. linkLocation=previews/D23_changed_girl_decision.svg, friendlyName=Open preview</x:v>
      </x:c>
      <x:c r="O54" s="7" t="e">
        <x:f>HYPERLINK("previews/D23_changed_girl_consequence.svg","Open preview")</x:f>
        <x:v>HYPERLINK is not implemented. linkLocation=previews/D23_changed_girl_consequence.svg, friendlyName=Open preview</x:v>
      </x:c>
    </x:row>
    <x:row r="55" ht="70" customHeight="1">
      <x:c r="A55" s="7" t="str">
        <x:v>D24</x:v>
      </x:c>
      <x:c r="B55" s="7" t="str">
        <x:v>base</x:v>
      </x:c>
      <x:c r="C55" s="7" t="str">
        <x:v>Winger is now the first presser.
Identify pressure, support and the next threat before selecting.</x:v>
      </x:c>
      <x:c r="D55" s="8" t="str">
        <x:v>Pending</x:v>
      </x:c>
      <x:c r="E55" s="8" t="str">
        <x:v>Pending</x:v>
      </x:c>
      <x:c r="F55" s="8" t="str">
        <x:v>Pending</x:v>
      </x:c>
      <x:c r="G55" s="8" t="str">
        <x:v>Pending</x:v>
      </x:c>
      <x:c r="H55" s="8" t="str">
        <x:v>Pending</x:v>
      </x:c>
      <x:c r="I55" s="8" t="str">
        <x:v>Pending</x:v>
      </x:c>
      <x:c r="J55" s="7" t="str">
        <x:f>IF(COUNTIFS(D55:I55,"Pass")=6,"Passed","Review needed")</x:f>
        <x:v>Review needed</x:v>
      </x:c>
      <x:c r="K55" s="8" t="str"/>
      <x:c r="L55" s="7" t="e">
        <x:f>HYPERLINK("previews/D24_base_boy_decision.svg","Open preview")</x:f>
        <x:v>HYPERLINK is not implemented. linkLocation=previews/D24_base_boy_decision.svg, friendlyName=Open preview</x:v>
      </x:c>
      <x:c r="M55" s="7" t="e">
        <x:f>HYPERLINK("previews/D24_base_boy_consequence.svg","Open preview")</x:f>
        <x:v>HYPERLINK is not implemented. linkLocation=previews/D24_base_boy_consequence.svg, friendlyName=Open preview</x:v>
      </x:c>
      <x:c r="N55" s="7" t="e">
        <x:f>HYPERLINK("previews/D24_base_girl_decision.svg","Open preview")</x:f>
        <x:v>HYPERLINK is not implemented. linkLocation=previews/D24_base_girl_decision.svg, friendlyName=Open preview</x:v>
      </x:c>
      <x:c r="O55" s="7" t="e">
        <x:f>HYPERLINK("previews/D24_base_girl_consequence.svg","Open preview")</x:f>
        <x:v>HYPERLINK is not implemented. linkLocation=previews/D24_base_girl_consequence.svg, friendlyName=Open preview</x:v>
      </x:c>
    </x:row>
    <x:row r="56" ht="70" customHeight="1">
      <x:c r="A56" s="7" t="str">
        <x:v>D24</x:v>
      </x:c>
      <x:c r="B56" s="7" t="str">
        <x:v>changed</x:v>
      </x:c>
      <x:c r="C56" s="7" t="str">
        <x:v>The carrier escapes inside the winger; the striker is now the closest available presser.
Identify pressure, support and the next threat before selecting.</x:v>
      </x:c>
      <x:c r="D56" s="8" t="str">
        <x:v>Pending</x:v>
      </x:c>
      <x:c r="E56" s="8" t="str">
        <x:v>Pending</x:v>
      </x:c>
      <x:c r="F56" s="8" t="str">
        <x:v>Pending</x:v>
      </x:c>
      <x:c r="G56" s="8" t="str">
        <x:v>Pending</x:v>
      </x:c>
      <x:c r="H56" s="8" t="str">
        <x:v>Pending</x:v>
      </x:c>
      <x:c r="I56" s="8" t="str">
        <x:v>Pending</x:v>
      </x:c>
      <x:c r="J56" s="7" t="str">
        <x:f>IF(COUNTIFS(D56:I56,"Pass")=6,"Passed","Review needed")</x:f>
        <x:v>Review needed</x:v>
      </x:c>
      <x:c r="K56" s="8" t="str"/>
      <x:c r="L56" s="7" t="e">
        <x:f>HYPERLINK("previews/D24_changed_boy_decision.svg","Open preview")</x:f>
        <x:v>HYPERLINK is not implemented. linkLocation=previews/D24_changed_boy_decision.svg, friendlyName=Open preview</x:v>
      </x:c>
      <x:c r="M56" s="7" t="e">
        <x:f>HYPERLINK("previews/D24_changed_boy_consequence.svg","Open preview")</x:f>
        <x:v>HYPERLINK is not implemented. linkLocation=previews/D24_changed_boy_consequence.svg, friendlyName=Open preview</x:v>
      </x:c>
      <x:c r="N56" s="7" t="e">
        <x:f>HYPERLINK("previews/D24_changed_girl_decision.svg","Open preview")</x:f>
        <x:v>HYPERLINK is not implemented. linkLocation=previews/D24_changed_girl_decision.svg, friendlyName=Open preview</x:v>
      </x:c>
      <x:c r="O56" s="7" t="e">
        <x:f>HYPERLINK("previews/D24_changed_girl_consequence.svg","Open preview")</x:f>
        <x:v>HYPERLINK is not implemented. linkLocation=previews/D24_changed_girl_consequence.svg, friendlyName=Open preview</x:v>
      </x:c>
    </x:row>
    <x:row r="57" ht="70" customHeight="1">
      <x:c r="A57" s="7" t="str">
        <x:v>D25</x:v>
      </x:c>
      <x:c r="B57" s="7" t="str">
        <x:v>base</x:v>
      </x:c>
      <x:c r="C57" s="7" t="str">
        <x:v>You can reach carrier; CB provides cover.
Identify pressure, support and the next threat before selecting.</x:v>
      </x:c>
      <x:c r="D57" s="8" t="str">
        <x:v>Pending</x:v>
      </x:c>
      <x:c r="E57" s="8" t="str">
        <x:v>Pending</x:v>
      </x:c>
      <x:c r="F57" s="8" t="str">
        <x:v>Pending</x:v>
      </x:c>
      <x:c r="G57" s="8" t="str">
        <x:v>Pending</x:v>
      </x:c>
      <x:c r="H57" s="8" t="str">
        <x:v>Pending</x:v>
      </x:c>
      <x:c r="I57" s="8" t="str">
        <x:v>Pending</x:v>
      </x:c>
      <x:c r="J57" s="7" t="str">
        <x:f>IF(COUNTIFS(D57:I57,"Pass")=6,"Passed","Review needed")</x:f>
        <x:v>Review needed</x:v>
      </x:c>
      <x:c r="K57" s="8" t="str"/>
      <x:c r="L57" s="7" t="e">
        <x:f>HYPERLINK("previews/D25_base_boy_decision.svg","Open preview")</x:f>
        <x:v>HYPERLINK is not implemented. linkLocation=previews/D25_base_boy_decision.svg, friendlyName=Open preview</x:v>
      </x:c>
      <x:c r="M57" s="7" t="e">
        <x:f>HYPERLINK("previews/D25_base_boy_consequence.svg","Open preview")</x:f>
        <x:v>HYPERLINK is not implemented. linkLocation=previews/D25_base_boy_consequence.svg, friendlyName=Open preview</x:v>
      </x:c>
      <x:c r="N57" s="7" t="e">
        <x:f>HYPERLINK("previews/D25_base_girl_decision.svg","Open preview")</x:f>
        <x:v>HYPERLINK is not implemented. linkLocation=previews/D25_base_girl_decision.svg, friendlyName=Open preview</x:v>
      </x:c>
      <x:c r="O57" s="7" t="e">
        <x:f>HYPERLINK("previews/D25_base_girl_consequence.svg","Open preview")</x:f>
        <x:v>HYPERLINK is not implemented. linkLocation=previews/D25_base_girl_consequence.svg, friendlyName=Open preview</x:v>
      </x:c>
    </x:row>
    <x:row r="58" ht="70" customHeight="1">
      <x:c r="A58" s="7" t="str">
        <x:v>D25</x:v>
      </x:c>
      <x:c r="B58" s="7" t="str">
        <x:v>changed</x:v>
      </x:c>
      <x:c r="C58" s="7" t="str">
        <x:v>Central cover is farther away; do not commit beyond your ability to recover.
Identify pressure, support and the next threat before selecting.</x:v>
      </x:c>
      <x:c r="D58" s="8" t="str">
        <x:v>Pending</x:v>
      </x:c>
      <x:c r="E58" s="8" t="str">
        <x:v>Pending</x:v>
      </x:c>
      <x:c r="F58" s="8" t="str">
        <x:v>Pending</x:v>
      </x:c>
      <x:c r="G58" s="8" t="str">
        <x:v>Pending</x:v>
      </x:c>
      <x:c r="H58" s="8" t="str">
        <x:v>Pending</x:v>
      </x:c>
      <x:c r="I58" s="8" t="str">
        <x:v>Pending</x:v>
      </x:c>
      <x:c r="J58" s="7" t="str">
        <x:f>IF(COUNTIFS(D58:I58,"Pass")=6,"Passed","Review needed")</x:f>
        <x:v>Review needed</x:v>
      </x:c>
      <x:c r="K58" s="8" t="str"/>
      <x:c r="L58" s="7" t="e">
        <x:f>HYPERLINK("previews/D25_changed_boy_decision.svg","Open preview")</x:f>
        <x:v>HYPERLINK is not implemented. linkLocation=previews/D25_changed_boy_decision.svg, friendlyName=Open preview</x:v>
      </x:c>
      <x:c r="M58" s="7" t="e">
        <x:f>HYPERLINK("previews/D25_changed_boy_consequence.svg","Open preview")</x:f>
        <x:v>HYPERLINK is not implemented. linkLocation=previews/D25_changed_boy_consequence.svg, friendlyName=Open preview</x:v>
      </x:c>
      <x:c r="N58" s="7" t="e">
        <x:f>HYPERLINK("previews/D25_changed_girl_decision.svg","Open preview")</x:f>
        <x:v>HYPERLINK is not implemented. linkLocation=previews/D25_changed_girl_decision.svg, friendlyName=Open preview</x:v>
      </x:c>
      <x:c r="O58" s="7" t="e">
        <x:f>HYPERLINK("previews/D25_changed_girl_consequence.svg","Open preview")</x:f>
        <x:v>HYPERLINK is not implemented. linkLocation=previews/D25_changed_girl_consequence.svg, friendlyName=Open preview</x:v>
      </x:c>
    </x:row>
    <x:row r="59" ht="70" customHeight="1">
      <x:c r="A59" s="7" t="str">
        <x:v>D26</x:v>
      </x:c>
      <x:c r="B59" s="7" t="str">
        <x:v>base</x:v>
      </x:c>
      <x:c r="C59" s="7" t="str">
        <x:v>Outside back pressures; second attacker threatens inside.
Identify pressure, support and the next threat before selecting.</x:v>
      </x:c>
      <x:c r="D59" s="8" t="str">
        <x:v>Pending</x:v>
      </x:c>
      <x:c r="E59" s="8" t="str">
        <x:v>Pending</x:v>
      </x:c>
      <x:c r="F59" s="8" t="str">
        <x:v>Pending</x:v>
      </x:c>
      <x:c r="G59" s="8" t="str">
        <x:v>Pending</x:v>
      </x:c>
      <x:c r="H59" s="8" t="str">
        <x:v>Pending</x:v>
      </x:c>
      <x:c r="I59" s="8" t="str">
        <x:v>Pending</x:v>
      </x:c>
      <x:c r="J59" s="7" t="str">
        <x:f>IF(COUNTIFS(D59:I59,"Pass")=6,"Passed","Review needed")</x:f>
        <x:v>Review needed</x:v>
      </x:c>
      <x:c r="K59" s="8" t="str"/>
      <x:c r="L59" s="7" t="e">
        <x:f>HYPERLINK("previews/D26_base_boy_decision.svg","Open preview")</x:f>
        <x:v>HYPERLINK is not implemented. linkLocation=previews/D26_base_boy_decision.svg, friendlyName=Open preview</x:v>
      </x:c>
      <x:c r="M59" s="7" t="e">
        <x:f>HYPERLINK("previews/D26_base_boy_consequence.svg","Open preview")</x:f>
        <x:v>HYPERLINK is not implemented. linkLocation=previews/D26_base_boy_consequence.svg, friendlyName=Open preview</x:v>
      </x:c>
      <x:c r="N59" s="7" t="e">
        <x:f>HYPERLINK("previews/D26_base_girl_decision.svg","Open preview")</x:f>
        <x:v>HYPERLINK is not implemented. linkLocation=previews/D26_base_girl_decision.svg, friendlyName=Open preview</x:v>
      </x:c>
      <x:c r="O59" s="7" t="e">
        <x:f>HYPERLINK("previews/D26_base_girl_consequence.svg","Open preview")</x:f>
        <x:v>HYPERLINK is not implemented. linkLocation=previews/D26_base_girl_consequence.svg, friendlyName=Open preview</x:v>
      </x:c>
    </x:row>
    <x:row r="60" ht="70" customHeight="1">
      <x:c r="A60" s="7" t="str">
        <x:v>D26</x:v>
      </x:c>
      <x:c r="B60" s="7" t="str">
        <x:v>changed</x:v>
      </x:c>
      <x:c r="C60" s="7" t="str">
        <x:v>The outside back has been beaten; become first defender with RB covering inside.
Identify pressure, support and the next threat before selecting.</x:v>
      </x:c>
      <x:c r="D60" s="8" t="str">
        <x:v>Pending</x:v>
      </x:c>
      <x:c r="E60" s="8" t="str">
        <x:v>Pending</x:v>
      </x:c>
      <x:c r="F60" s="8" t="str">
        <x:v>Pending</x:v>
      </x:c>
      <x:c r="G60" s="8" t="str">
        <x:v>Pending</x:v>
      </x:c>
      <x:c r="H60" s="8" t="str">
        <x:v>Pending</x:v>
      </x:c>
      <x:c r="I60" s="8" t="str">
        <x:v>Pending</x:v>
      </x:c>
      <x:c r="J60" s="7" t="str">
        <x:f>IF(COUNTIFS(D60:I60,"Pass")=6,"Passed","Review needed")</x:f>
        <x:v>Review needed</x:v>
      </x:c>
      <x:c r="K60" s="8" t="str"/>
      <x:c r="L60" s="7" t="e">
        <x:f>HYPERLINK("previews/D26_changed_boy_decision.svg","Open preview")</x:f>
        <x:v>HYPERLINK is not implemented. linkLocation=previews/D26_changed_boy_decision.svg, friendlyName=Open preview</x:v>
      </x:c>
      <x:c r="M60" s="7" t="e">
        <x:f>HYPERLINK("previews/D26_changed_boy_consequence.svg","Open preview")</x:f>
        <x:v>HYPERLINK is not implemented. linkLocation=previews/D26_changed_boy_consequence.svg, friendlyName=Open preview</x:v>
      </x:c>
      <x:c r="N60" s="7" t="e">
        <x:f>HYPERLINK("previews/D26_changed_girl_decision.svg","Open preview")</x:f>
        <x:v>HYPERLINK is not implemented. linkLocation=previews/D26_changed_girl_decision.svg, friendlyName=Open preview</x:v>
      </x:c>
      <x:c r="O60" s="7" t="e">
        <x:f>HYPERLINK("previews/D26_changed_girl_consequence.svg","Open preview")</x:f>
        <x:v>HYPERLINK is not implemented. linkLocation=previews/D26_changed_girl_consequence.svg, friendlyName=Open preview</x:v>
      </x:c>
    </x:row>
    <x:row r="61" ht="70" customHeight="1">
      <x:c r="A61" s="7" t="str">
        <x:v>D27</x:v>
      </x:c>
      <x:c r="B61" s="7" t="str">
        <x:v>base</x:v>
      </x:c>
      <x:c r="C61" s="7" t="str">
        <x:v>Pass shifts across your defensive pair.
Identify pressure, support and the next threat before selecting.</x:v>
      </x:c>
      <x:c r="D61" s="8" t="str">
        <x:v>Pending</x:v>
      </x:c>
      <x:c r="E61" s="8" t="str">
        <x:v>Pending</x:v>
      </x:c>
      <x:c r="F61" s="8" t="str">
        <x:v>Pending</x:v>
      </x:c>
      <x:c r="G61" s="8" t="str">
        <x:v>Pending</x:v>
      </x:c>
      <x:c r="H61" s="8" t="str">
        <x:v>Pending</x:v>
      </x:c>
      <x:c r="I61" s="8" t="str">
        <x:v>Pending</x:v>
      </x:c>
      <x:c r="J61" s="7" t="str">
        <x:f>IF(COUNTIFS(D61:I61,"Pass")=6,"Passed","Review needed")</x:f>
        <x:v>Review needed</x:v>
      </x:c>
      <x:c r="K61" s="8" t="str"/>
      <x:c r="L61" s="7" t="e">
        <x:f>HYPERLINK("previews/D27_base_boy_decision.svg","Open preview")</x:f>
        <x:v>HYPERLINK is not implemented. linkLocation=previews/D27_base_boy_decision.svg, friendlyName=Open preview</x:v>
      </x:c>
      <x:c r="M61" s="7" t="e">
        <x:f>HYPERLINK("previews/D27_base_boy_consequence.svg","Open preview")</x:f>
        <x:v>HYPERLINK is not implemented. linkLocation=previews/D27_base_boy_consequence.svg, friendlyName=Open preview</x:v>
      </x:c>
      <x:c r="N61" s="7" t="e">
        <x:f>HYPERLINK("previews/D27_base_girl_decision.svg","Open preview")</x:f>
        <x:v>HYPERLINK is not implemented. linkLocation=previews/D27_base_girl_decision.svg, friendlyName=Open preview</x:v>
      </x:c>
      <x:c r="O61" s="7" t="e">
        <x:f>HYPERLINK("previews/D27_base_girl_consequence.svg","Open preview")</x:f>
        <x:v>HYPERLINK is not implemented. linkLocation=previews/D27_base_girl_consequence.svg, friendlyName=Open preview</x:v>
      </x:c>
    </x:row>
    <x:row r="62" ht="70" customHeight="1">
      <x:c r="A62" s="7" t="str">
        <x:v>D27</x:v>
      </x:c>
      <x:c r="B62" s="7" t="str">
        <x:v>changed</x:v>
      </x:c>
      <x:c r="C62" s="7" t="str">
        <x:v>The receiver is now much farther away; protect the space while your unit shifts.
Identify pressure, support and the next threat before selecting.</x:v>
      </x:c>
      <x:c r="D62" s="8" t="str">
        <x:v>Pending</x:v>
      </x:c>
      <x:c r="E62" s="8" t="str">
        <x:v>Pending</x:v>
      </x:c>
      <x:c r="F62" s="8" t="str">
        <x:v>Pending</x:v>
      </x:c>
      <x:c r="G62" s="8" t="str">
        <x:v>Pending</x:v>
      </x:c>
      <x:c r="H62" s="8" t="str">
        <x:v>Pending</x:v>
      </x:c>
      <x:c r="I62" s="8" t="str">
        <x:v>Pending</x:v>
      </x:c>
      <x:c r="J62" s="7" t="str">
        <x:f>IF(COUNTIFS(D62:I62,"Pass")=6,"Passed","Review needed")</x:f>
        <x:v>Review needed</x:v>
      </x:c>
      <x:c r="K62" s="8" t="str"/>
      <x:c r="L62" s="7" t="e">
        <x:f>HYPERLINK("previews/D27_changed_boy_decision.svg","Open preview")</x:f>
        <x:v>HYPERLINK is not implemented. linkLocation=previews/D27_changed_boy_decision.svg, friendlyName=Open preview</x:v>
      </x:c>
      <x:c r="M62" s="7" t="e">
        <x:f>HYPERLINK("previews/D27_changed_boy_consequence.svg","Open preview")</x:f>
        <x:v>HYPERLINK is not implemented. linkLocation=previews/D27_changed_boy_consequence.svg, friendlyName=Open preview</x:v>
      </x:c>
      <x:c r="N62" s="7" t="e">
        <x:f>HYPERLINK("previews/D27_changed_girl_decision.svg","Open preview")</x:f>
        <x:v>HYPERLINK is not implemented. linkLocation=previews/D27_changed_girl_decision.svg, friendlyName=Open preview</x:v>
      </x:c>
      <x:c r="O62" s="7" t="e">
        <x:f>HYPERLINK("previews/D27_changed_girl_consequence.svg","Open preview")</x:f>
        <x:v>HYPERLINK is not implemented. linkLocation=previews/D27_changed_girl_consequence.svg, friendlyName=Open preview</x:v>
      </x:c>
    </x:row>
    <x:row r="63" ht="70" customHeight="1">
      <x:c r="A63" s="7" t="str">
        <x:v>D28</x:v>
      </x:c>
      <x:c r="B63" s="7" t="str">
        <x:v>base</x:v>
      </x:c>
      <x:c r="C63" s="7" t="str">
        <x:v>Ball moves sideways across the block.
Identify pressure, support and the next threat before selecting.</x:v>
      </x:c>
      <x:c r="D63" s="8" t="str">
        <x:v>Pending</x:v>
      </x:c>
      <x:c r="E63" s="8" t="str">
        <x:v>Pending</x:v>
      </x:c>
      <x:c r="F63" s="8" t="str">
        <x:v>Pending</x:v>
      </x:c>
      <x:c r="G63" s="8" t="str">
        <x:v>Pending</x:v>
      </x:c>
      <x:c r="H63" s="8" t="str">
        <x:v>Pending</x:v>
      </x:c>
      <x:c r="I63" s="8" t="str">
        <x:v>Pending</x:v>
      </x:c>
      <x:c r="J63" s="7" t="str">
        <x:f>IF(COUNTIFS(D63:I63,"Pass")=6,"Passed","Review needed")</x:f>
        <x:v>Review needed</x:v>
      </x:c>
      <x:c r="K63" s="8" t="str"/>
      <x:c r="L63" s="7" t="e">
        <x:f>HYPERLINK("previews/D28_base_boy_decision.svg","Open preview")</x:f>
        <x:v>HYPERLINK is not implemented. linkLocation=previews/D28_base_boy_decision.svg, friendlyName=Open preview</x:v>
      </x:c>
      <x:c r="M63" s="7" t="e">
        <x:f>HYPERLINK("previews/D28_base_boy_consequence.svg","Open preview")</x:f>
        <x:v>HYPERLINK is not implemented. linkLocation=previews/D28_base_boy_consequence.svg, friendlyName=Open preview</x:v>
      </x:c>
      <x:c r="N63" s="7" t="e">
        <x:f>HYPERLINK("previews/D28_base_girl_decision.svg","Open preview")</x:f>
        <x:v>HYPERLINK is not implemented. linkLocation=previews/D28_base_girl_decision.svg, friendlyName=Open preview</x:v>
      </x:c>
      <x:c r="O63" s="7" t="e">
        <x:f>HYPERLINK("previews/D28_base_girl_consequence.svg","Open preview")</x:f>
        <x:v>HYPERLINK is not implemented. linkLocation=previews/D28_base_girl_consequence.svg, friendlyName=Open preview</x:v>
      </x:c>
    </x:row>
    <x:row r="64" ht="70" customHeight="1">
      <x:c r="A64" s="7" t="str">
        <x:v>D28</x:v>
      </x:c>
      <x:c r="B64" s="7" t="str">
        <x:v>changed</x:v>
      </x:c>
      <x:c r="C64" s="7" t="str">
        <x:v>A loose touch enters your reach and the center back provides cover.
Identify pressure, support and the next threat before selecting.</x:v>
      </x:c>
      <x:c r="D64" s="8" t="str">
        <x:v>Pending</x:v>
      </x:c>
      <x:c r="E64" s="8" t="str">
        <x:v>Pending</x:v>
      </x:c>
      <x:c r="F64" s="8" t="str">
        <x:v>Pending</x:v>
      </x:c>
      <x:c r="G64" s="8" t="str">
        <x:v>Pending</x:v>
      </x:c>
      <x:c r="H64" s="8" t="str">
        <x:v>Pending</x:v>
      </x:c>
      <x:c r="I64" s="8" t="str">
        <x:v>Pending</x:v>
      </x:c>
      <x:c r="J64" s="7" t="str">
        <x:f>IF(COUNTIFS(D64:I64,"Pass")=6,"Passed","Review needed")</x:f>
        <x:v>Review needed</x:v>
      </x:c>
      <x:c r="K64" s="8" t="str"/>
      <x:c r="L64" s="7" t="e">
        <x:f>HYPERLINK("previews/D28_changed_boy_decision.svg","Open preview")</x:f>
        <x:v>HYPERLINK is not implemented. linkLocation=previews/D28_changed_boy_decision.svg, friendlyName=Open preview</x:v>
      </x:c>
      <x:c r="M64" s="7" t="e">
        <x:f>HYPERLINK("previews/D28_changed_boy_consequence.svg","Open preview")</x:f>
        <x:v>HYPERLINK is not implemented. linkLocation=previews/D28_changed_boy_consequence.svg, friendlyName=Open preview</x:v>
      </x:c>
      <x:c r="N64" s="7" t="e">
        <x:f>HYPERLINK("previews/D28_changed_girl_decision.svg","Open preview")</x:f>
        <x:v>HYPERLINK is not implemented. linkLocation=previews/D28_changed_girl_decision.svg, friendlyName=Open preview</x:v>
      </x:c>
      <x:c r="O64" s="7" t="e">
        <x:f>HYPERLINK("previews/D28_changed_girl_consequence.svg","Open preview")</x:f>
        <x:v>HYPERLINK is not implemented. linkLocation=previews/D28_changed_girl_consequence.svg, friendlyName=Open preview</x:v>
      </x:c>
    </x:row>
    <x:row r="65" ht="70" customHeight="1">
      <x:c r="A65" s="7" t="str">
        <x:v>D29</x:v>
      </x:c>
      <x:c r="B65" s="7" t="str">
        <x:v>base</x:v>
      </x:c>
      <x:c r="C65" s="7" t="str">
        <x:v>Midfielder steps; space opens behind.
Identify pressure, support and the next threat before selecting.</x:v>
      </x:c>
      <x:c r="D65" s="8" t="str">
        <x:v>Pending</x:v>
      </x:c>
      <x:c r="E65" s="8" t="str">
        <x:v>Pending</x:v>
      </x:c>
      <x:c r="F65" s="8" t="str">
        <x:v>Pending</x:v>
      </x:c>
      <x:c r="G65" s="8" t="str">
        <x:v>Pending</x:v>
      </x:c>
      <x:c r="H65" s="8" t="str">
        <x:v>Pending</x:v>
      </x:c>
      <x:c r="I65" s="8" t="str">
        <x:v>Pending</x:v>
      </x:c>
      <x:c r="J65" s="7" t="str">
        <x:f>IF(COUNTIFS(D65:I65,"Pass")=6,"Passed","Review needed")</x:f>
        <x:v>Review needed</x:v>
      </x:c>
      <x:c r="K65" s="8" t="str"/>
      <x:c r="L65" s="7" t="e">
        <x:f>HYPERLINK("previews/D29_base_boy_decision.svg","Open preview")</x:f>
        <x:v>HYPERLINK is not implemented. linkLocation=previews/D29_base_boy_decision.svg, friendlyName=Open preview</x:v>
      </x:c>
      <x:c r="M65" s="7" t="e">
        <x:f>HYPERLINK("previews/D29_base_boy_consequence.svg","Open preview")</x:f>
        <x:v>HYPERLINK is not implemented. linkLocation=previews/D29_base_boy_consequence.svg, friendlyName=Open preview</x:v>
      </x:c>
      <x:c r="N65" s="7" t="e">
        <x:f>HYPERLINK("previews/D29_base_girl_decision.svg","Open preview")</x:f>
        <x:v>HYPERLINK is not implemented. linkLocation=previews/D29_base_girl_decision.svg, friendlyName=Open preview</x:v>
      </x:c>
      <x:c r="O65" s="7" t="e">
        <x:f>HYPERLINK("previews/D29_base_girl_consequence.svg","Open preview")</x:f>
        <x:v>HYPERLINK is not implemented. linkLocation=previews/D29_base_girl_consequence.svg, friendlyName=Open preview</x:v>
      </x:c>
    </x:row>
    <x:row r="66" ht="70" customHeight="1">
      <x:c r="A66" s="7" t="str">
        <x:v>D29</x:v>
      </x:c>
      <x:c r="B66" s="7" t="str">
        <x:v>changed</x:v>
      </x:c>
      <x:c r="C66" s="7" t="str">
        <x:v>The midfielder has closed the ball; advance only while forward delivery remains prevented.
Identify pressure, support and the next threat before selecting.</x:v>
      </x:c>
      <x:c r="D66" s="8" t="str">
        <x:v>Pending</x:v>
      </x:c>
      <x:c r="E66" s="8" t="str">
        <x:v>Pending</x:v>
      </x:c>
      <x:c r="F66" s="8" t="str">
        <x:v>Pending</x:v>
      </x:c>
      <x:c r="G66" s="8" t="str">
        <x:v>Pending</x:v>
      </x:c>
      <x:c r="H66" s="8" t="str">
        <x:v>Pending</x:v>
      </x:c>
      <x:c r="I66" s="8" t="str">
        <x:v>Pending</x:v>
      </x:c>
      <x:c r="J66" s="7" t="str">
        <x:f>IF(COUNTIFS(D66:I66,"Pass")=6,"Passed","Review needed")</x:f>
        <x:v>Review needed</x:v>
      </x:c>
      <x:c r="K66" s="8" t="str"/>
      <x:c r="L66" s="7" t="e">
        <x:f>HYPERLINK("previews/D29_changed_boy_decision.svg","Open preview")</x:f>
        <x:v>HYPERLINK is not implemented. linkLocation=previews/D29_changed_boy_decision.svg, friendlyName=Open preview</x:v>
      </x:c>
      <x:c r="M66" s="7" t="e">
        <x:f>HYPERLINK("previews/D29_changed_boy_consequence.svg","Open preview")</x:f>
        <x:v>HYPERLINK is not implemented. linkLocation=previews/D29_changed_boy_consequence.svg, friendlyName=Open preview</x:v>
      </x:c>
      <x:c r="N66" s="7" t="e">
        <x:f>HYPERLINK("previews/D29_changed_girl_decision.svg","Open preview")</x:f>
        <x:v>HYPERLINK is not implemented. linkLocation=previews/D29_changed_girl_decision.svg, friendlyName=Open preview</x:v>
      </x:c>
      <x:c r="O66" s="7" t="e">
        <x:f>HYPERLINK("previews/D29_changed_girl_consequence.svg","Open preview")</x:f>
        <x:v>HYPERLINK is not implemented. linkLocation=previews/D29_changed_girl_consequence.svg, friendlyName=Open preview</x:v>
      </x:c>
    </x:row>
    <x:row r="67" ht="70" customHeight="1">
      <x:c r="A67" s="7" t="str">
        <x:v>D30</x:v>
      </x:c>
      <x:c r="B67" s="7" t="str">
        <x:v>base</x:v>
      </x:c>
      <x:c r="C67" s="7" t="str">
        <x:v>Opponent receives facing forward beyond pressure.
Identify pressure, support and the next threat before selecting.</x:v>
      </x:c>
      <x:c r="D67" s="8" t="str">
        <x:v>Pending</x:v>
      </x:c>
      <x:c r="E67" s="8" t="str">
        <x:v>Pending</x:v>
      </x:c>
      <x:c r="F67" s="8" t="str">
        <x:v>Pending</x:v>
      </x:c>
      <x:c r="G67" s="8" t="str">
        <x:v>Pending</x:v>
      </x:c>
      <x:c r="H67" s="8" t="str">
        <x:v>Pending</x:v>
      </x:c>
      <x:c r="I67" s="8" t="str">
        <x:v>Pending</x:v>
      </x:c>
      <x:c r="J67" s="7" t="str">
        <x:f>IF(COUNTIFS(D67:I67,"Pass")=6,"Passed","Review needed")</x:f>
        <x:v>Review needed</x:v>
      </x:c>
      <x:c r="K67" s="8" t="str"/>
      <x:c r="L67" s="7" t="e">
        <x:f>HYPERLINK("previews/D30_base_boy_decision.svg","Open preview")</x:f>
        <x:v>HYPERLINK is not implemented. linkLocation=previews/D30_base_boy_decision.svg, friendlyName=Open preview</x:v>
      </x:c>
      <x:c r="M67" s="7" t="e">
        <x:f>HYPERLINK("previews/D30_base_boy_consequence.svg","Open preview")</x:f>
        <x:v>HYPERLINK is not implemented. linkLocation=previews/D30_base_boy_consequence.svg, friendlyName=Open preview</x:v>
      </x:c>
      <x:c r="N67" s="7" t="e">
        <x:f>HYPERLINK("previews/D30_base_girl_decision.svg","Open preview")</x:f>
        <x:v>HYPERLINK is not implemented. linkLocation=previews/D30_base_girl_decision.svg, friendlyName=Open preview</x:v>
      </x:c>
      <x:c r="O67" s="7" t="e">
        <x:f>HYPERLINK("previews/D30_base_girl_consequence.svg","Open preview")</x:f>
        <x:v>HYPERLINK is not implemented. linkLocation=previews/D30_base_girl_consequence.svg, friendlyName=Open preview</x:v>
      </x:c>
    </x:row>
    <x:row r="68" ht="70" customHeight="1">
      <x:c r="A68" s="7" t="str">
        <x:v>D30</x:v>
      </x:c>
      <x:c r="B68" s="7" t="str">
        <x:v>changed</x:v>
      </x:c>
      <x:c r="C68" s="7" t="str">
        <x:v>The receiver is near the sideline with RB covering; pressure is now supported.
Identify pressure, support and the next threat before selecting.</x:v>
      </x:c>
      <x:c r="D68" s="8" t="str">
        <x:v>Pending</x:v>
      </x:c>
      <x:c r="E68" s="8" t="str">
        <x:v>Pending</x:v>
      </x:c>
      <x:c r="F68" s="8" t="str">
        <x:v>Pending</x:v>
      </x:c>
      <x:c r="G68" s="8" t="str">
        <x:v>Pending</x:v>
      </x:c>
      <x:c r="H68" s="8" t="str">
        <x:v>Pending</x:v>
      </x:c>
      <x:c r="I68" s="8" t="str">
        <x:v>Pending</x:v>
      </x:c>
      <x:c r="J68" s="7" t="str">
        <x:f>IF(COUNTIFS(D68:I68,"Pass")=6,"Passed","Review needed")</x:f>
        <x:v>Review needed</x:v>
      </x:c>
      <x:c r="K68" s="8" t="str"/>
      <x:c r="L68" s="7" t="e">
        <x:f>HYPERLINK("previews/D30_changed_boy_decision.svg","Open preview")</x:f>
        <x:v>HYPERLINK is not implemented. linkLocation=previews/D30_changed_boy_decision.svg, friendlyName=Open preview</x:v>
      </x:c>
      <x:c r="M68" s="7" t="e">
        <x:f>HYPERLINK("previews/D30_changed_boy_consequence.svg","Open preview")</x:f>
        <x:v>HYPERLINK is not implemented. linkLocation=previews/D30_changed_boy_consequence.svg, friendlyName=Open preview</x:v>
      </x:c>
      <x:c r="N68" s="7" t="e">
        <x:f>HYPERLINK("previews/D30_changed_girl_decision.svg","Open preview")</x:f>
        <x:v>HYPERLINK is not implemented. linkLocation=previews/D30_changed_girl_decision.svg, friendlyName=Open preview</x:v>
      </x:c>
      <x:c r="O68" s="7" t="e">
        <x:f>HYPERLINK("previews/D30_changed_girl_consequence.svg","Open preview")</x:f>
        <x:v>HYPERLINK is not implemented. linkLocation=previews/D30_changed_girl_consequence.svg, friendlyName=Open preview</x:v>
      </x:c>
    </x:row>
    <x:row r="69" ht="70" customHeight="1">
      <x:c r="A69" s="7" t="str">
        <x:v>D31</x:v>
      </x:c>
      <x:c r="B69" s="7" t="str">
        <x:v>base</x:v>
      </x:c>
      <x:c r="C69" s="7" t="str">
        <x:v>Attacker receives wide; inside route threatens goal.
Identify pressure, support and the next threat before selecting.</x:v>
      </x:c>
      <x:c r="D69" s="8" t="str">
        <x:v>Pending</x:v>
      </x:c>
      <x:c r="E69" s="8" t="str">
        <x:v>Pending</x:v>
      </x:c>
      <x:c r="F69" s="8" t="str">
        <x:v>Pending</x:v>
      </x:c>
      <x:c r="G69" s="8" t="str">
        <x:v>Pending</x:v>
      </x:c>
      <x:c r="H69" s="8" t="str">
        <x:v>Pending</x:v>
      </x:c>
      <x:c r="I69" s="8" t="str">
        <x:v>Pending</x:v>
      </x:c>
      <x:c r="J69" s="7" t="str">
        <x:f>IF(COUNTIFS(D69:I69,"Pass")=6,"Passed","Review needed")</x:f>
        <x:v>Review needed</x:v>
      </x:c>
      <x:c r="K69" s="8" t="str"/>
      <x:c r="L69" s="7" t="e">
        <x:f>HYPERLINK("previews/D31_base_boy_decision.svg","Open preview")</x:f>
        <x:v>HYPERLINK is not implemented. linkLocation=previews/D31_base_boy_decision.svg, friendlyName=Open preview</x:v>
      </x:c>
      <x:c r="M69" s="7" t="e">
        <x:f>HYPERLINK("previews/D31_base_boy_consequence.svg","Open preview")</x:f>
        <x:v>HYPERLINK is not implemented. linkLocation=previews/D31_base_boy_consequence.svg, friendlyName=Open preview</x:v>
      </x:c>
      <x:c r="N69" s="7" t="e">
        <x:f>HYPERLINK("previews/D31_base_girl_decision.svg","Open preview")</x:f>
        <x:v>HYPERLINK is not implemented. linkLocation=previews/D31_base_girl_decision.svg, friendlyName=Open preview</x:v>
      </x:c>
      <x:c r="O69" s="7" t="e">
        <x:f>HYPERLINK("previews/D31_base_girl_consequence.svg","Open preview")</x:f>
        <x:v>HYPERLINK is not implemented. linkLocation=previews/D31_base_girl_consequence.svg, friendlyName=Open preview</x:v>
      </x:c>
    </x:row>
    <x:row r="70" ht="70" customHeight="1">
      <x:c r="A70" s="7" t="str">
        <x:v>D31</x:v>
      </x:c>
      <x:c r="B70" s="7" t="str">
        <x:v>changed</x:v>
      </x:c>
      <x:c r="C70" s="7" t="str">
        <x:v>The attacker knocks the ball inside toward you; check reach before contesting.
Identify pressure, support and the next threat before selecting.</x:v>
      </x:c>
      <x:c r="D70" s="8" t="str">
        <x:v>Pending</x:v>
      </x:c>
      <x:c r="E70" s="8" t="str">
        <x:v>Pending</x:v>
      </x:c>
      <x:c r="F70" s="8" t="str">
        <x:v>Pending</x:v>
      </x:c>
      <x:c r="G70" s="8" t="str">
        <x:v>Pending</x:v>
      </x:c>
      <x:c r="H70" s="8" t="str">
        <x:v>Pending</x:v>
      </x:c>
      <x:c r="I70" s="8" t="str">
        <x:v>Pending</x:v>
      </x:c>
      <x:c r="J70" s="7" t="str">
        <x:f>IF(COUNTIFS(D70:I70,"Pass")=6,"Passed","Review needed")</x:f>
        <x:v>Review needed</x:v>
      </x:c>
      <x:c r="K70" s="8" t="str"/>
      <x:c r="L70" s="7" t="e">
        <x:f>HYPERLINK("previews/D31_changed_boy_decision.svg","Open preview")</x:f>
        <x:v>HYPERLINK is not implemented. linkLocation=previews/D31_changed_boy_decision.svg, friendlyName=Open preview</x:v>
      </x:c>
      <x:c r="M70" s="7" t="e">
        <x:f>HYPERLINK("previews/D31_changed_boy_consequence.svg","Open preview")</x:f>
        <x:v>HYPERLINK is not implemented. linkLocation=previews/D31_changed_boy_consequence.svg, friendlyName=Open preview</x:v>
      </x:c>
      <x:c r="N70" s="7" t="e">
        <x:f>HYPERLINK("previews/D31_changed_girl_decision.svg","Open preview")</x:f>
        <x:v>HYPERLINK is not implemented. linkLocation=previews/D31_changed_girl_decision.svg, friendlyName=Open preview</x:v>
      </x:c>
      <x:c r="O70" s="7" t="e">
        <x:f>HYPERLINK("previews/D31_changed_girl_consequence.svg","Open preview")</x:f>
        <x:v>HYPERLINK is not implemented. linkLocation=previews/D31_changed_girl_consequence.svg, friendlyName=Open preview</x:v>
      </x:c>
    </x:row>
    <x:row r="71" ht="70" customHeight="1">
      <x:c r="A71" s="7" t="str">
        <x:v>D32</x:v>
      </x:c>
      <x:c r="B71" s="7" t="str">
        <x:v>base</x:v>
      </x:c>
      <x:c r="C71" s="7" t="str">
        <x:v>Attacker has control and you lack cover.
Identify pressure, support and the next threat before selecting.</x:v>
      </x:c>
      <x:c r="D71" s="8" t="str">
        <x:v>Pending</x:v>
      </x:c>
      <x:c r="E71" s="8" t="str">
        <x:v>Pending</x:v>
      </x:c>
      <x:c r="F71" s="8" t="str">
        <x:v>Pending</x:v>
      </x:c>
      <x:c r="G71" s="8" t="str">
        <x:v>Pending</x:v>
      </x:c>
      <x:c r="H71" s="8" t="str">
        <x:v>Pending</x:v>
      </x:c>
      <x:c r="I71" s="8" t="str">
        <x:v>Pending</x:v>
      </x:c>
      <x:c r="J71" s="7" t="str">
        <x:f>IF(COUNTIFS(D71:I71,"Pass")=6,"Passed","Review needed")</x:f>
        <x:v>Review needed</x:v>
      </x:c>
      <x:c r="K71" s="8" t="str"/>
      <x:c r="L71" s="7" t="e">
        <x:f>HYPERLINK("previews/D32_base_boy_decision.svg","Open preview")</x:f>
        <x:v>HYPERLINK is not implemented. linkLocation=previews/D32_base_boy_decision.svg, friendlyName=Open preview</x:v>
      </x:c>
      <x:c r="M71" s="7" t="e">
        <x:f>HYPERLINK("previews/D32_base_boy_consequence.svg","Open preview")</x:f>
        <x:v>HYPERLINK is not implemented. linkLocation=previews/D32_base_boy_consequence.svg, friendlyName=Open preview</x:v>
      </x:c>
      <x:c r="N71" s="7" t="e">
        <x:f>HYPERLINK("previews/D32_base_girl_decision.svg","Open preview")</x:f>
        <x:v>HYPERLINK is not implemented. linkLocation=previews/D32_base_girl_decision.svg, friendlyName=Open preview</x:v>
      </x:c>
      <x:c r="O71" s="7" t="e">
        <x:f>HYPERLINK("previews/D32_base_girl_consequence.svg","Open preview")</x:f>
        <x:v>HYPERLINK is not implemented. linkLocation=previews/D32_base_girl_consequence.svg, friendlyName=Open preview</x:v>
      </x:c>
    </x:row>
    <x:row r="72" ht="70" customHeight="1">
      <x:c r="A72" s="7" t="str">
        <x:v>D32</x:v>
      </x:c>
      <x:c r="B72" s="7" t="str">
        <x:v>changed</x:v>
      </x:c>
      <x:c r="C72" s="7" t="str">
        <x:v>A touch escapes toward you; the ball is available without lunging through the player.
Identify pressure, support and the next threat before selecting.</x:v>
      </x:c>
      <x:c r="D72" s="8" t="str">
        <x:v>Pending</x:v>
      </x:c>
      <x:c r="E72" s="8" t="str">
        <x:v>Pending</x:v>
      </x:c>
      <x:c r="F72" s="8" t="str">
        <x:v>Pending</x:v>
      </x:c>
      <x:c r="G72" s="8" t="str">
        <x:v>Pending</x:v>
      </x:c>
      <x:c r="H72" s="8" t="str">
        <x:v>Pending</x:v>
      </x:c>
      <x:c r="I72" s="8" t="str">
        <x:v>Pending</x:v>
      </x:c>
      <x:c r="J72" s="7" t="str">
        <x:f>IF(COUNTIFS(D72:I72,"Pass")=6,"Passed","Review needed")</x:f>
        <x:v>Review needed</x:v>
      </x:c>
      <x:c r="K72" s="8" t="str"/>
      <x:c r="L72" s="7" t="e">
        <x:f>HYPERLINK("previews/D32_changed_boy_decision.svg","Open preview")</x:f>
        <x:v>HYPERLINK is not implemented. linkLocation=previews/D32_changed_boy_decision.svg, friendlyName=Open preview</x:v>
      </x:c>
      <x:c r="M72" s="7" t="e">
        <x:f>HYPERLINK("previews/D32_changed_boy_consequence.svg","Open preview")</x:f>
        <x:v>HYPERLINK is not implemented. linkLocation=previews/D32_changed_boy_consequence.svg, friendlyName=Open preview</x:v>
      </x:c>
      <x:c r="N72" s="7" t="e">
        <x:f>HYPERLINK("previews/D32_changed_girl_decision.svg","Open preview")</x:f>
        <x:v>HYPERLINK is not implemented. linkLocation=previews/D32_changed_girl_decision.svg, friendlyName=Open preview</x:v>
      </x:c>
      <x:c r="O72" s="7" t="e">
        <x:f>HYPERLINK("previews/D32_changed_girl_consequence.svg","Open preview")</x:f>
        <x:v>HYPERLINK is not implemented. linkLocation=previews/D32_changed_girl_consequence.svg, friendlyName=Open preview</x:v>
      </x:c>
    </x:row>
    <x:row r="73" ht="70" customHeight="1">
      <x:c r="A73" s="7" t="str">
        <x:v>D33</x:v>
      </x:c>
      <x:c r="B73" s="7" t="str">
        <x:v>base</x:v>
      </x:c>
      <x:c r="C73" s="7" t="str">
        <x:v>Teammate is beaten toward goal.
Identify pressure, support and the next threat before selecting.</x:v>
      </x:c>
      <x:c r="D73" s="8" t="str">
        <x:v>Pending</x:v>
      </x:c>
      <x:c r="E73" s="8" t="str">
        <x:v>Pending</x:v>
      </x:c>
      <x:c r="F73" s="8" t="str">
        <x:v>Pending</x:v>
      </x:c>
      <x:c r="G73" s="8" t="str">
        <x:v>Pending</x:v>
      </x:c>
      <x:c r="H73" s="8" t="str">
        <x:v>Pending</x:v>
      </x:c>
      <x:c r="I73" s="8" t="str">
        <x:v>Pending</x:v>
      </x:c>
      <x:c r="J73" s="7" t="str">
        <x:f>IF(COUNTIFS(D73:I73,"Pass")=6,"Passed","Review needed")</x:f>
        <x:v>Review needed</x:v>
      </x:c>
      <x:c r="K73" s="8" t="str"/>
      <x:c r="L73" s="7" t="e">
        <x:f>HYPERLINK("previews/D33_base_boy_decision.svg","Open preview")</x:f>
        <x:v>HYPERLINK is not implemented. linkLocation=previews/D33_base_boy_decision.svg, friendlyName=Open preview</x:v>
      </x:c>
      <x:c r="M73" s="7" t="e">
        <x:f>HYPERLINK("previews/D33_base_boy_consequence.svg","Open preview")</x:f>
        <x:v>HYPERLINK is not implemented. linkLocation=previews/D33_base_boy_consequence.svg, friendlyName=Open preview</x:v>
      </x:c>
      <x:c r="N73" s="7" t="e">
        <x:f>HYPERLINK("previews/D33_base_girl_decision.svg","Open preview")</x:f>
        <x:v>HYPERLINK is not implemented. linkLocation=previews/D33_base_girl_decision.svg, friendlyName=Open preview</x:v>
      </x:c>
      <x:c r="O73" s="7" t="e">
        <x:f>HYPERLINK("previews/D33_base_girl_consequence.svg","Open preview")</x:f>
        <x:v>HYPERLINK is not implemented. linkLocation=previews/D33_base_girl_consequence.svg, friendlyName=Open preview</x:v>
      </x:c>
    </x:row>
    <x:row r="74" ht="70" customHeight="1">
      <x:c r="A74" s="7" t="str">
        <x:v>D33</x:v>
      </x:c>
      <x:c r="B74" s="7" t="str">
        <x:v>changed</x:v>
      </x:c>
      <x:c r="C74" s="7" t="str">
        <x:v>The outside back has recovered goal-side; preserve cover instead of duplicating pressure.
Identify pressure, support and the next threat before selecting.</x:v>
      </x:c>
      <x:c r="D74" s="8" t="str">
        <x:v>Pending</x:v>
      </x:c>
      <x:c r="E74" s="8" t="str">
        <x:v>Pending</x:v>
      </x:c>
      <x:c r="F74" s="8" t="str">
        <x:v>Pending</x:v>
      </x:c>
      <x:c r="G74" s="8" t="str">
        <x:v>Pending</x:v>
      </x:c>
      <x:c r="H74" s="8" t="str">
        <x:v>Pending</x:v>
      </x:c>
      <x:c r="I74" s="8" t="str">
        <x:v>Pending</x:v>
      </x:c>
      <x:c r="J74" s="7" t="str">
        <x:f>IF(COUNTIFS(D74:I74,"Pass")=6,"Passed","Review needed")</x:f>
        <x:v>Review needed</x:v>
      </x:c>
      <x:c r="K74" s="8" t="str"/>
      <x:c r="L74" s="7" t="e">
        <x:f>HYPERLINK("previews/D33_changed_boy_decision.svg","Open preview")</x:f>
        <x:v>HYPERLINK is not implemented. linkLocation=previews/D33_changed_boy_decision.svg, friendlyName=Open preview</x:v>
      </x:c>
      <x:c r="M74" s="7" t="e">
        <x:f>HYPERLINK("previews/D33_changed_boy_consequence.svg","Open preview")</x:f>
        <x:v>HYPERLINK is not implemented. linkLocation=previews/D33_changed_boy_consequence.svg, friendlyName=Open preview</x:v>
      </x:c>
      <x:c r="N74" s="7" t="e">
        <x:f>HYPERLINK("previews/D33_changed_girl_decision.svg","Open preview")</x:f>
        <x:v>HYPERLINK is not implemented. linkLocation=previews/D33_changed_girl_decision.svg, friendlyName=Open preview</x:v>
      </x:c>
      <x:c r="O74" s="7" t="e">
        <x:f>HYPERLINK("previews/D33_changed_girl_consequence.svg","Open preview")</x:f>
        <x:v>HYPERLINK is not implemented. linkLocation=previews/D33_changed_girl_consequence.svg, friendlyName=Open preview</x:v>
      </x:c>
    </x:row>
    <x:row r="75" ht="70" customHeight="1">
      <x:c r="A75" s="7" t="str">
        <x:v>D34</x:v>
      </x:c>
      <x:c r="B75" s="7" t="str">
        <x:v>base</x:v>
      </x:c>
      <x:c r="C75" s="7" t="str">
        <x:v>Wide carrier can deliver; striker runs centrally.
Identify pressure, support and the next threat before selecting.</x:v>
      </x:c>
      <x:c r="D75" s="8" t="str">
        <x:v>Pending</x:v>
      </x:c>
      <x:c r="E75" s="8" t="str">
        <x:v>Pending</x:v>
      </x:c>
      <x:c r="F75" s="8" t="str">
        <x:v>Pending</x:v>
      </x:c>
      <x:c r="G75" s="8" t="str">
        <x:v>Pending</x:v>
      </x:c>
      <x:c r="H75" s="8" t="str">
        <x:v>Pending</x:v>
      </x:c>
      <x:c r="I75" s="8" t="str">
        <x:v>Pending</x:v>
      </x:c>
      <x:c r="J75" s="7" t="str">
        <x:f>IF(COUNTIFS(D75:I75,"Pass")=6,"Passed","Review needed")</x:f>
        <x:v>Review needed</x:v>
      </x:c>
      <x:c r="K75" s="8" t="str"/>
      <x:c r="L75" s="7" t="e">
        <x:f>HYPERLINK("previews/D34_base_boy_decision.svg","Open preview")</x:f>
        <x:v>HYPERLINK is not implemented. linkLocation=previews/D34_base_boy_decision.svg, friendlyName=Open preview</x:v>
      </x:c>
      <x:c r="M75" s="7" t="e">
        <x:f>HYPERLINK("previews/D34_base_boy_consequence.svg","Open preview")</x:f>
        <x:v>HYPERLINK is not implemented. linkLocation=previews/D34_base_boy_consequence.svg, friendlyName=Open preview</x:v>
      </x:c>
      <x:c r="N75" s="7" t="e">
        <x:f>HYPERLINK("previews/D34_base_girl_decision.svg","Open preview")</x:f>
        <x:v>HYPERLINK is not implemented. linkLocation=previews/D34_base_girl_decision.svg, friendlyName=Open preview</x:v>
      </x:c>
      <x:c r="O75" s="7" t="e">
        <x:f>HYPERLINK("previews/D34_base_girl_consequence.svg","Open preview")</x:f>
        <x:v>HYPERLINK is not implemented. linkLocation=previews/D34_base_girl_consequence.svg, friendlyName=Open preview</x:v>
      </x:c>
    </x:row>
    <x:row r="76" ht="70" customHeight="1">
      <x:c r="A76" s="7" t="str">
        <x:v>D34</x:v>
      </x:c>
      <x:c r="B76" s="7" t="str">
        <x:v>changed</x:v>
      </x:c>
      <x:c r="C76" s="7" t="str">
        <x:v>Ball pressure prevents the immediate delivery; step only with the rest of the line.
Identify pressure, support and the next threat before selecting.</x:v>
      </x:c>
      <x:c r="D76" s="8" t="str">
        <x:v>Pending</x:v>
      </x:c>
      <x:c r="E76" s="8" t="str">
        <x:v>Pending</x:v>
      </x:c>
      <x:c r="F76" s="8" t="str">
        <x:v>Pending</x:v>
      </x:c>
      <x:c r="G76" s="8" t="str">
        <x:v>Pending</x:v>
      </x:c>
      <x:c r="H76" s="8" t="str">
        <x:v>Pending</x:v>
      </x:c>
      <x:c r="I76" s="8" t="str">
        <x:v>Pending</x:v>
      </x:c>
      <x:c r="J76" s="7" t="str">
        <x:f>IF(COUNTIFS(D76:I76,"Pass")=6,"Passed","Review needed")</x:f>
        <x:v>Review needed</x:v>
      </x:c>
      <x:c r="K76" s="8" t="str"/>
      <x:c r="L76" s="7" t="e">
        <x:f>HYPERLINK("previews/D34_changed_boy_decision.svg","Open preview")</x:f>
        <x:v>HYPERLINK is not implemented. linkLocation=previews/D34_changed_boy_decision.svg, friendlyName=Open preview</x:v>
      </x:c>
      <x:c r="M76" s="7" t="e">
        <x:f>HYPERLINK("previews/D34_changed_boy_consequence.svg","Open preview")</x:f>
        <x:v>HYPERLINK is not implemented. linkLocation=previews/D34_changed_boy_consequence.svg, friendlyName=Open preview</x:v>
      </x:c>
      <x:c r="N76" s="7" t="e">
        <x:f>HYPERLINK("previews/D34_changed_girl_decision.svg","Open preview")</x:f>
        <x:v>HYPERLINK is not implemented. linkLocation=previews/D34_changed_girl_decision.svg, friendlyName=Open preview</x:v>
      </x:c>
      <x:c r="O76" s="7" t="e">
        <x:f>HYPERLINK("previews/D34_changed_girl_consequence.svg","Open preview")</x:f>
        <x:v>HYPERLINK is not implemented. linkLocation=previews/D34_changed_girl_consequence.svg, friendlyName=Open preview</x:v>
      </x:c>
    </x:row>
    <x:row r="77" ht="70" customHeight="1">
      <x:c r="A77" s="7" t="str">
        <x:v>D35</x:v>
      </x:c>
      <x:c r="B77" s="7" t="str">
        <x:v>base</x:v>
      </x:c>
      <x:c r="C77" s="7" t="str">
        <x:v>Defenders track runners; cutback space is open.
Identify pressure, support and the next threat before selecting.</x:v>
      </x:c>
      <x:c r="D77" s="8" t="str">
        <x:v>Pending</x:v>
      </x:c>
      <x:c r="E77" s="8" t="str">
        <x:v>Pending</x:v>
      </x:c>
      <x:c r="F77" s="8" t="str">
        <x:v>Pending</x:v>
      </x:c>
      <x:c r="G77" s="8" t="str">
        <x:v>Pending</x:v>
      </x:c>
      <x:c r="H77" s="8" t="str">
        <x:v>Pending</x:v>
      </x:c>
      <x:c r="I77" s="8" t="str">
        <x:v>Pending</x:v>
      </x:c>
      <x:c r="J77" s="7" t="str">
        <x:f>IF(COUNTIFS(D77:I77,"Pass")=6,"Passed","Review needed")</x:f>
        <x:v>Review needed</x:v>
      </x:c>
      <x:c r="K77" s="8" t="str"/>
      <x:c r="L77" s="7" t="e">
        <x:f>HYPERLINK("previews/D35_base_boy_decision.svg","Open preview")</x:f>
        <x:v>HYPERLINK is not implemented. linkLocation=previews/D35_base_boy_decision.svg, friendlyName=Open preview</x:v>
      </x:c>
      <x:c r="M77" s="7" t="e">
        <x:f>HYPERLINK("previews/D35_base_boy_consequence.svg","Open preview")</x:f>
        <x:v>HYPERLINK is not implemented. linkLocation=previews/D35_base_boy_consequence.svg, friendlyName=Open preview</x:v>
      </x:c>
      <x:c r="N77" s="7" t="e">
        <x:f>HYPERLINK("previews/D35_base_girl_decision.svg","Open preview")</x:f>
        <x:v>HYPERLINK is not implemented. linkLocation=previews/D35_base_girl_decision.svg, friendlyName=Open preview</x:v>
      </x:c>
      <x:c r="O77" s="7" t="e">
        <x:f>HYPERLINK("previews/D35_base_girl_consequence.svg","Open preview")</x:f>
        <x:v>HYPERLINK is not implemented. linkLocation=previews/D35_base_girl_consequence.svg, friendlyName=Open preview</x:v>
      </x:c>
    </x:row>
    <x:row r="78" ht="70" customHeight="1">
      <x:c r="A78" s="7" t="str">
        <x:v>D35</x:v>
      </x:c>
      <x:c r="B78" s="7" t="str">
        <x:v>changed</x:v>
      </x:c>
      <x:c r="C78" s="7" t="str">
        <x:v>RB has taken the cutback zone while a runner threatens behind you; communicate the handoff.
Identify pressure, support and the next threat before selecting.</x:v>
      </x:c>
      <x:c r="D78" s="8" t="str">
        <x:v>Pending</x:v>
      </x:c>
      <x:c r="E78" s="8" t="str">
        <x:v>Pending</x:v>
      </x:c>
      <x:c r="F78" s="8" t="str">
        <x:v>Pending</x:v>
      </x:c>
      <x:c r="G78" s="8" t="str">
        <x:v>Pending</x:v>
      </x:c>
      <x:c r="H78" s="8" t="str">
        <x:v>Pending</x:v>
      </x:c>
      <x:c r="I78" s="8" t="str">
        <x:v>Pending</x:v>
      </x:c>
      <x:c r="J78" s="7" t="str">
        <x:f>IF(COUNTIFS(D78:I78,"Pass")=6,"Passed","Review needed")</x:f>
        <x:v>Review needed</x:v>
      </x:c>
      <x:c r="K78" s="8" t="str"/>
      <x:c r="L78" s="7" t="e">
        <x:f>HYPERLINK("previews/D35_changed_boy_decision.svg","Open preview")</x:f>
        <x:v>HYPERLINK is not implemented. linkLocation=previews/D35_changed_boy_decision.svg, friendlyName=Open preview</x:v>
      </x:c>
      <x:c r="M78" s="7" t="e">
        <x:f>HYPERLINK("previews/D35_changed_boy_consequence.svg","Open preview")</x:f>
        <x:v>HYPERLINK is not implemented. linkLocation=previews/D35_changed_boy_consequence.svg, friendlyName=Open preview</x:v>
      </x:c>
      <x:c r="N78" s="7" t="e">
        <x:f>HYPERLINK("previews/D35_changed_girl_decision.svg","Open preview")</x:f>
        <x:v>HYPERLINK is not implemented. linkLocation=previews/D35_changed_girl_decision.svg, friendlyName=Open preview</x:v>
      </x:c>
      <x:c r="O78" s="7" t="e">
        <x:f>HYPERLINK("previews/D35_changed_girl_consequence.svg","Open preview")</x:f>
        <x:v>HYPERLINK is not implemented. linkLocation=previews/D35_changed_girl_consequence.svg, friendlyName=Open preview</x:v>
      </x:c>
    </x:row>
    <x:row r="79" ht="70" customHeight="1">
      <x:c r="A79" s="7" t="str">
        <x:v>D36</x:v>
      </x:c>
      <x:c r="B79" s="7" t="str">
        <x:v>base</x:v>
      </x:c>
      <x:c r="C79" s="7" t="str">
        <x:v>You can pressure wide carrier with cover behind.
Identify pressure, support and the next threat before selecting.</x:v>
      </x:c>
      <x:c r="D79" s="8" t="str">
        <x:v>Pending</x:v>
      </x:c>
      <x:c r="E79" s="8" t="str">
        <x:v>Pending</x:v>
      </x:c>
      <x:c r="F79" s="8" t="str">
        <x:v>Pending</x:v>
      </x:c>
      <x:c r="G79" s="8" t="str">
        <x:v>Pending</x:v>
      </x:c>
      <x:c r="H79" s="8" t="str">
        <x:v>Pending</x:v>
      </x:c>
      <x:c r="I79" s="8" t="str">
        <x:v>Pending</x:v>
      </x:c>
      <x:c r="J79" s="7" t="str">
        <x:f>IF(COUNTIFS(D79:I79,"Pass")=6,"Passed","Review needed")</x:f>
        <x:v>Review needed</x:v>
      </x:c>
      <x:c r="K79" s="8" t="str"/>
      <x:c r="L79" s="7" t="e">
        <x:f>HYPERLINK("previews/D36_base_boy_decision.svg","Open preview")</x:f>
        <x:v>HYPERLINK is not implemented. linkLocation=previews/D36_base_boy_decision.svg, friendlyName=Open preview</x:v>
      </x:c>
      <x:c r="M79" s="7" t="e">
        <x:f>HYPERLINK("previews/D36_base_boy_consequence.svg","Open preview")</x:f>
        <x:v>HYPERLINK is not implemented. linkLocation=previews/D36_base_boy_consequence.svg, friendlyName=Open preview</x:v>
      </x:c>
      <x:c r="N79" s="7" t="e">
        <x:f>HYPERLINK("previews/D36_base_girl_decision.svg","Open preview")</x:f>
        <x:v>HYPERLINK is not implemented. linkLocation=previews/D36_base_girl_decision.svg, friendlyName=Open preview</x:v>
      </x:c>
      <x:c r="O79" s="7" t="e">
        <x:f>HYPERLINK("previews/D36_base_girl_consequence.svg","Open preview")</x:f>
        <x:v>HYPERLINK is not implemented. linkLocation=previews/D36_base_girl_consequence.svg, friendlyName=Open preview</x:v>
      </x:c>
    </x:row>
    <x:row r="80" ht="70" customHeight="1">
      <x:c r="A80" s="7" t="str">
        <x:v>D36</x:v>
      </x:c>
      <x:c r="B80" s="7" t="str">
        <x:v>changed</x:v>
      </x:c>
      <x:c r="C80" s="7" t="str">
        <x:v>The carrier is now too distant for immediate pressure; protect the inside route.
Identify pressure, support and the next threat before selecting.</x:v>
      </x:c>
      <x:c r="D80" s="8" t="str">
        <x:v>Pending</x:v>
      </x:c>
      <x:c r="E80" s="8" t="str">
        <x:v>Pending</x:v>
      </x:c>
      <x:c r="F80" s="8" t="str">
        <x:v>Pending</x:v>
      </x:c>
      <x:c r="G80" s="8" t="str">
        <x:v>Pending</x:v>
      </x:c>
      <x:c r="H80" s="8" t="str">
        <x:v>Pending</x:v>
      </x:c>
      <x:c r="I80" s="8" t="str">
        <x:v>Pending</x:v>
      </x:c>
      <x:c r="J80" s="7" t="str">
        <x:f>IF(COUNTIFS(D80:I80,"Pass")=6,"Passed","Review needed")</x:f>
        <x:v>Review needed</x:v>
      </x:c>
      <x:c r="K80" s="8" t="str"/>
      <x:c r="L80" s="7" t="e">
        <x:f>HYPERLINK("previews/D36_changed_boy_decision.svg","Open preview")</x:f>
        <x:v>HYPERLINK is not implemented. linkLocation=previews/D36_changed_boy_decision.svg, friendlyName=Open preview</x:v>
      </x:c>
      <x:c r="M80" s="7" t="e">
        <x:f>HYPERLINK("previews/D36_changed_boy_consequence.svg","Open preview")</x:f>
        <x:v>HYPERLINK is not implemented. linkLocation=previews/D36_changed_boy_consequence.svg, friendlyName=Open preview</x:v>
      </x:c>
      <x:c r="N80" s="7" t="e">
        <x:f>HYPERLINK("previews/D36_changed_girl_decision.svg","Open preview")</x:f>
        <x:v>HYPERLINK is not implemented. linkLocation=previews/D36_changed_girl_decision.svg, friendlyName=Open preview</x:v>
      </x:c>
      <x:c r="O80" s="7" t="e">
        <x:f>HYPERLINK("previews/D36_changed_girl_consequence.svg","Open preview")</x:f>
        <x:v>HYPERLINK is not implemented. linkLocation=previews/D36_changed_girl_consequence.svg, friendlyName=Open preview</x:v>
      </x:c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</x:row>
  </x:sheetData>
  <x:dataValidations count="1">
    <x:dataValidation type="list" sqref="D9:I80">
      <x:formula1>"Pending,Pass,Revise,Reject"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d372ce125f44b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10" hidden="0" customWidth="1"/>
    <x:col min="2" max="2" width="13" hidden="0" customWidth="1"/>
    <x:col min="3" max="3" width="10" hidden="0" customWidth="1"/>
    <x:col min="4" max="4" width="43" hidden="0" customWidth="1"/>
    <x:col min="5" max="5" width="18" hidden="0" customWidth="1"/>
    <x:col min="6" max="6" width="65" hidden="0" customWidth="1"/>
    <x:col min="7" max="7" width="58" hidden="0" customWidth="1"/>
    <x:col min="8" max="8" width="48" hidden="0" customWidth="1"/>
    <x:col min="9" max="9" width="18" hidden="0" customWidth="1"/>
    <x:col min="10" max="10" width="5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Proposed answers and feedback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 t="str">
        <x:v>These are proposals, not approved answers. Record grade, wording or alternative-action corrections in column J.</x:v>
      </x:c>
      <x:c r="B4" s="1"/>
      <x:c r="C4" s="1"/>
      <x:c r="D4" s="1"/>
      <x:c r="E4" s="1"/>
      <x:c r="F4" s="1"/>
      <x:c r="G4" s="1"/>
      <x:c r="H4" s="1"/>
      <x:c r="I4" s="1"/>
      <x:c r="J4" s="1"/>
    </x:row>
    <x:row r="5">
      <x:c r="A5" s="1" t="str">
        <x:v>Preferred does not mean uniquely correct. Do not equate a good decision with guaranteed execution.</x:v>
      </x:c>
      <x:c r="B5" s="1"/>
      <x:c r="C5" s="1"/>
      <x:c r="D5" s="1"/>
      <x:c r="E5" s="1"/>
      <x:c r="F5" s="1"/>
      <x:c r="G5" s="1"/>
      <x:c r="H5" s="1"/>
      <x:c r="I5" s="1"/>
      <x:c r="J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</x:row>
    <x:row r="8" ht="44" customHeight="1">
      <x:c r="A8" s="5" t="str">
        <x:v>ID</x:v>
      </x:c>
      <x:c r="B8" s="5" t="str">
        <x:v>Variant</x:v>
      </x:c>
      <x:c r="C8" s="5" t="str">
        <x:v>Choice</x:v>
      </x:c>
      <x:c r="D8" s="5" t="str">
        <x:v>Proposed action</x:v>
      </x:c>
      <x:c r="E8" s="5" t="str">
        <x:v>Proposed grade</x:v>
      </x:c>
      <x:c r="F8" s="5" t="str">
        <x:v>Coach Code feedback</x:v>
      </x:c>
      <x:c r="G8" s="5" t="str">
        <x:v>Illustrated consequence</x:v>
      </x:c>
      <x:c r="H8" s="5" t="str">
        <x:v>State rationale</x:v>
      </x:c>
      <x:c r="I8" s="5" t="str">
        <x:v>Source IDs</x:v>
      </x:c>
      <x:c r="J8" s="5" t="str">
        <x:v>Coach correction</x:v>
      </x:c>
    </x:row>
    <x:row r="9" ht="116" customHeight="1">
      <x:c r="A9" s="7" t="str">
        <x:v>D01</x:v>
      </x:c>
      <x:c r="B9" s="7" t="str">
        <x:v>base</x:v>
      </x:c>
      <x:c r="C9" s="7" t="str">
        <x:v>A</x:v>
      </x:c>
      <x:c r="D9" s="7" t="str">
        <x:v>Pass to LB</x:v>
      </x:c>
      <x:c r="E9" s="7" t="str">
        <x:v>preferred</x:v>
      </x:c>
      <x:c r="F9" s="7" t="str">
        <x:v>Read the original cue: Defender commits to you; wide pass is clear.</x:v>
      </x:c>
      <x:c r="G9" s="7" t="str">
        <x:v>Illustrative endpoint for this option; no guaranteed goal, turnover or calibrated travel time.</x:v>
      </x:c>
      <x:c r="H9" s="7" t="str">
        <x:v>Release to LB.</x:v>
      </x:c>
      <x:c r="I9" s="7" t="str">
        <x:v>MSA01</x:v>
      </x:c>
      <x:c r="J9" s="8" t="str"/>
    </x:row>
    <x:row r="10" ht="116" customHeight="1">
      <x:c r="A10" s="7" t="str">
        <x:v>D01</x:v>
      </x:c>
      <x:c r="B10" s="7" t="str">
        <x:v>base</x:v>
      </x:c>
      <x:c r="C10" s="7" t="str">
        <x:v>B</x:v>
      </x:c>
      <x:c r="D10" s="7" t="str">
        <x:v>Carry into central space</x:v>
      </x:c>
      <x:c r="E10" s="7" t="str">
        <x:v>acceptable</x:v>
      </x:c>
      <x:c r="F10" s="7" t="str">
        <x:v>Read the original cue: Defender commits to you; wide pass is clear.</x:v>
      </x:c>
      <x:c r="G10" s="7" t="str">
        <x:v>Illustrative endpoint for this option; no guaranteed goal, turnover or calibrated travel time.</x:v>
      </x:c>
      <x:c r="H10" s="7" t="str">
        <x:v>Release to LB.</x:v>
      </x:c>
      <x:c r="I10" s="7" t="str">
        <x:v>MSA01</x:v>
      </x:c>
      <x:c r="J10" s="8" t="str"/>
    </x:row>
    <x:row r="11" ht="116" customHeight="1">
      <x:c r="A11" s="7" t="str">
        <x:v>D01</x:v>
      </x:c>
      <x:c r="B11" s="7" t="str">
        <x:v>base</x:v>
      </x:c>
      <x:c r="C11" s="7" t="str">
        <x:v>C</x:v>
      </x:c>
      <x:c r="D11" s="7" t="str">
        <x:v>Force play through defender.</x:v>
      </x:c>
      <x:c r="E11" s="7" t="str">
        <x:v>misread</x:v>
      </x:c>
      <x:c r="F11" s="7" t="str">
        <x:v>This risks losing the relationship we are trying to preserve: Force play through defender.</x:v>
      </x:c>
      <x:c r="G11" s="7" t="str">
        <x:v>Review pause only; no speculative failure animation.</x:v>
      </x:c>
      <x:c r="H11" s="7" t="str">
        <x:v>Release to LB.</x:v>
      </x:c>
      <x:c r="I11" s="7" t="str">
        <x:v>MSA01</x:v>
      </x:c>
      <x:c r="J11" s="8" t="str"/>
    </x:row>
    <x:row r="12" ht="116" customHeight="1">
      <x:c r="A12" s="7" t="str">
        <x:v>D01</x:v>
      </x:c>
      <x:c r="B12" s="7" t="str">
        <x:v>base</x:v>
      </x:c>
      <x:c r="C12" s="7" t="str">
        <x:v>D</x:v>
      </x:c>
      <x:c r="D12" s="7" t="str">
        <x:v>Pause, scan and communicate before committing</x:v>
      </x:c>
      <x:c r="E12" s="7" t="str">
        <x:v>acceptable</x:v>
      </x:c>
      <x:c r="F12" s="7" t="str">
        <x:v>Scanning is useful, but reassess before the opportunity disappears.</x:v>
      </x:c>
      <x:c r="G12" s="7" t="str">
        <x:v>Review pause only; no speculative failure animation.</x:v>
      </x:c>
      <x:c r="H12" s="7" t="str">
        <x:v>Release to LB.</x:v>
      </x:c>
      <x:c r="I12" s="7" t="str">
        <x:v>MSA01</x:v>
      </x:c>
      <x:c r="J12" s="8" t="str"/>
    </x:row>
    <x:row r="13" ht="116" customHeight="1">
      <x:c r="A13" s="7" t="str">
        <x:v>D01</x:v>
      </x:c>
      <x:c r="B13" s="7" t="str">
        <x:v>changed</x:v>
      </x:c>
      <x:c r="C13" s="7" t="str">
        <x:v>A</x:v>
      </x:c>
      <x:c r="D13" s="7" t="str">
        <x:v>Pass to LB</x:v>
      </x:c>
      <x:c r="E13" s="7" t="str">
        <x:v>misread</x:v>
      </x:c>
      <x:c r="F13" s="7" t="str">
        <x:v>This action is not supported by the current cue. The presser shifts across the LB passing lane; central carrying space opens.</x:v>
      </x:c>
      <x:c r="G13" s="7" t="str">
        <x:v>Freeze for explanation; do not illustrate a successful outcome for an unavailable action.</x:v>
      </x:c>
      <x:c r="H13" s="7" t="str">
        <x:v>Carry if defender blocks LB instead.</x:v>
      </x:c>
      <x:c r="I13" s="7" t="str">
        <x:v>MSA01</x:v>
      </x:c>
      <x:c r="J13" s="8" t="str"/>
    </x:row>
    <x:row r="14" ht="116" customHeight="1">
      <x:c r="A14" s="7" t="str">
        <x:v>D01</x:v>
      </x:c>
      <x:c r="B14" s="7" t="str">
        <x:v>changed</x:v>
      </x:c>
      <x:c r="C14" s="7" t="str">
        <x:v>B</x:v>
      </x:c>
      <x:c r="D14" s="7" t="str">
        <x:v>Carry into central space</x:v>
      </x:c>
      <x:c r="E14" s="7" t="str">
        <x:v>preferred</x:v>
      </x:c>
      <x:c r="F14" s="7" t="str">
        <x:v>Read the changed cue: The presser shifts across the LB passing lane; central carrying space opens.</x:v>
      </x:c>
      <x:c r="G14" s="7" t="str">
        <x:v>Illustrative endpoint for this option; no guaranteed goal, turnover or calibrated travel time.</x:v>
      </x:c>
      <x:c r="H14" s="7" t="str">
        <x:v>Carry if defender blocks LB instead.</x:v>
      </x:c>
      <x:c r="I14" s="7" t="str">
        <x:v>MSA01</x:v>
      </x:c>
      <x:c r="J14" s="8" t="str"/>
    </x:row>
    <x:row r="15" ht="116" customHeight="1">
      <x:c r="A15" s="7" t="str">
        <x:v>D01</x:v>
      </x:c>
      <x:c r="B15" s="7" t="str">
        <x:v>changed</x:v>
      </x:c>
      <x:c r="C15" s="7" t="str">
        <x:v>C</x:v>
      </x:c>
      <x:c r="D15" s="7" t="str">
        <x:v>Force play through defender.</x:v>
      </x:c>
      <x:c r="E15" s="7" t="str">
        <x:v>misread</x:v>
      </x:c>
      <x:c r="F15" s="7" t="str">
        <x:v>This risks losing the relationship we are trying to preserve: Force play through defender.</x:v>
      </x:c>
      <x:c r="G15" s="7" t="str">
        <x:v>Review pause only; no speculative failure animation.</x:v>
      </x:c>
      <x:c r="H15" s="7" t="str">
        <x:v>Carry if defender blocks LB instead.</x:v>
      </x:c>
      <x:c r="I15" s="7" t="str">
        <x:v>MSA01</x:v>
      </x:c>
      <x:c r="J15" s="8" t="str"/>
    </x:row>
    <x:row r="16" ht="116" customHeight="1">
      <x:c r="A16" s="7" t="str">
        <x:v>D01</x:v>
      </x:c>
      <x:c r="B16" s="7" t="str">
        <x:v>changed</x:v>
      </x:c>
      <x:c r="C16" s="7" t="str">
        <x:v>D</x:v>
      </x:c>
      <x:c r="D16" s="7" t="str">
        <x:v>Pause, scan and communicate before committing</x:v>
      </x:c>
      <x:c r="E16" s="7" t="str">
        <x:v>acceptable</x:v>
      </x:c>
      <x:c r="F16" s="7" t="str">
        <x:v>Scanning is useful, but reassess before the opportunity disappears.</x:v>
      </x:c>
      <x:c r="G16" s="7" t="str">
        <x:v>Review pause only; no speculative failure animation.</x:v>
      </x:c>
      <x:c r="H16" s="7" t="str">
        <x:v>Carry if defender blocks LB instead.</x:v>
      </x:c>
      <x:c r="I16" s="7" t="str">
        <x:v>MSA01</x:v>
      </x:c>
      <x:c r="J16" s="8" t="str"/>
    </x:row>
    <x:row r="17" ht="116" customHeight="1">
      <x:c r="A17" s="7" t="str">
        <x:v>D02</x:v>
      </x:c>
      <x:c r="B17" s="7" t="str">
        <x:v>base</x:v>
      </x:c>
      <x:c r="C17" s="7" t="str">
        <x:v>A</x:v>
      </x:c>
      <x:c r="D17" s="7" t="str">
        <x:v>Widen outside the shadow</x:v>
      </x:c>
      <x:c r="E17" s="7" t="str">
        <x:v>preferred</x:v>
      </x:c>
      <x:c r="F17" s="7" t="str">
        <x:v>Read the original cue: CB has controlled possession; you are hidden behind presser.</x:v>
      </x:c>
      <x:c r="G17" s="7" t="str">
        <x:v>Illustrative endpoint for this option; no guaranteed goal, turnover or calibrated travel time.</x:v>
      </x:c>
      <x:c r="H17" s="7" t="str">
        <x:v>Move outside the presser’s shadow.</x:v>
      </x:c>
      <x:c r="I17" s="7" t="str">
        <x:v>MSA01</x:v>
      </x:c>
      <x:c r="J17" s="8" t="str"/>
    </x:row>
    <x:row r="18" ht="116" customHeight="1">
      <x:c r="A18" s="7" t="str">
        <x:v>D02</x:v>
      </x:c>
      <x:c r="B18" s="7" t="str">
        <x:v>base</x:v>
      </x:c>
      <x:c r="C18" s="7" t="str">
        <x:v>B</x:v>
      </x:c>
      <x:c r="D18" s="7" t="str">
        <x:v>Offer a short diagonal</x:v>
      </x:c>
      <x:c r="E18" s="7" t="str">
        <x:v>acceptable</x:v>
      </x:c>
      <x:c r="F18" s="7" t="str">
        <x:v>Read the original cue: CB has controlled possession; you are hidden behind presser.</x:v>
      </x:c>
      <x:c r="G18" s="7" t="str">
        <x:v>Illustrative endpoint for this option; no guaranteed goal, turnover or calibrated travel time.</x:v>
      </x:c>
      <x:c r="H18" s="7" t="str">
        <x:v>Move outside the presser’s shadow.</x:v>
      </x:c>
      <x:c r="I18" s="7" t="str">
        <x:v>MSA01</x:v>
      </x:c>
      <x:c r="J18" s="8" t="str"/>
    </x:row>
    <x:row r="19" ht="116" customHeight="1">
      <x:c r="A19" s="7" t="str">
        <x:v>D02</x:v>
      </x:c>
      <x:c r="B19" s="7" t="str">
        <x:v>base</x:v>
      </x:c>
      <x:c r="C19" s="7" t="str">
        <x:v>C</x:v>
      </x:c>
      <x:c r="D19" s="7" t="str">
        <x:v>Run into CB’s lane.</x:v>
      </x:c>
      <x:c r="E19" s="7" t="str">
        <x:v>misread</x:v>
      </x:c>
      <x:c r="F19" s="7" t="str">
        <x:v>This risks losing the relationship we are trying to preserve: Run into CB’s lane.</x:v>
      </x:c>
      <x:c r="G19" s="7" t="str">
        <x:v>Review pause only; no speculative failure animation.</x:v>
      </x:c>
      <x:c r="H19" s="7" t="str">
        <x:v>Move outside the presser’s shadow.</x:v>
      </x:c>
      <x:c r="I19" s="7" t="str">
        <x:v>MSA01</x:v>
      </x:c>
      <x:c r="J19" s="8" t="str"/>
    </x:row>
    <x:row r="20" ht="116" customHeight="1">
      <x:c r="A20" s="7" t="str">
        <x:v>D02</x:v>
      </x:c>
      <x:c r="B20" s="7" t="str">
        <x:v>base</x:v>
      </x:c>
      <x:c r="C20" s="7" t="str">
        <x:v>D</x:v>
      </x:c>
      <x:c r="D20" s="7" t="str">
        <x:v>Pause, scan and communicate before committing</x:v>
      </x:c>
      <x:c r="E20" s="7" t="str">
        <x:v>acceptable</x:v>
      </x:c>
      <x:c r="F20" s="7" t="str">
        <x:v>Scanning is useful, but reassess before the opportunity disappears.</x:v>
      </x:c>
      <x:c r="G20" s="7" t="str">
        <x:v>Review pause only; no speculative failure animation.</x:v>
      </x:c>
      <x:c r="H20" s="7" t="str">
        <x:v>Move outside the presser’s shadow.</x:v>
      </x:c>
      <x:c r="I20" s="7" t="str">
        <x:v>MSA01</x:v>
      </x:c>
      <x:c r="J20" s="8" t="str"/>
    </x:row>
    <x:row r="21" ht="116" customHeight="1">
      <x:c r="A21" s="7" t="str">
        <x:v>D02</x:v>
      </x:c>
      <x:c r="B21" s="7" t="str">
        <x:v>changed</x:v>
      </x:c>
      <x:c r="C21" s="7" t="str">
        <x:v>A</x:v>
      </x:c>
      <x:c r="D21" s="7" t="str">
        <x:v>Widen outside the shadow</x:v>
      </x:c>
      <x:c r="E21" s="7" t="str">
        <x:v>acceptable</x:v>
      </x:c>
      <x:c r="F21" s="7" t="str">
        <x:v>Read the changed cue: Pressure reaches CB; a nearer support angle is more urgent than maximum width.</x:v>
      </x:c>
      <x:c r="G21" s="7" t="str">
        <x:v>Illustrative endpoint for this option; no guaranteed goal, turnover or calibrated travel time.</x:v>
      </x:c>
      <x:c r="H21" s="7" t="str">
        <x:v>Offer a shorter angle if CB is rushed.</x:v>
      </x:c>
      <x:c r="I21" s="7" t="str">
        <x:v>MSA01</x:v>
      </x:c>
      <x:c r="J21" s="8" t="str"/>
    </x:row>
    <x:row r="22" ht="116" customHeight="1">
      <x:c r="A22" s="7" t="str">
        <x:v>D02</x:v>
      </x:c>
      <x:c r="B22" s="7" t="str">
        <x:v>changed</x:v>
      </x:c>
      <x:c r="C22" s="7" t="str">
        <x:v>B</x:v>
      </x:c>
      <x:c r="D22" s="7" t="str">
        <x:v>Offer a short diagonal</x:v>
      </x:c>
      <x:c r="E22" s="7" t="str">
        <x:v>preferred</x:v>
      </x:c>
      <x:c r="F22" s="7" t="str">
        <x:v>Read the changed cue: Pressure reaches CB; a nearer support angle is more urgent than maximum width.</x:v>
      </x:c>
      <x:c r="G22" s="7" t="str">
        <x:v>Illustrative endpoint for this option; no guaranteed goal, turnover or calibrated travel time.</x:v>
      </x:c>
      <x:c r="H22" s="7" t="str">
        <x:v>Offer a shorter angle if CB is rushed.</x:v>
      </x:c>
      <x:c r="I22" s="7" t="str">
        <x:v>MSA01</x:v>
      </x:c>
      <x:c r="J22" s="8" t="str"/>
    </x:row>
    <x:row r="23" ht="116" customHeight="1">
      <x:c r="A23" s="7" t="str">
        <x:v>D02</x:v>
      </x:c>
      <x:c r="B23" s="7" t="str">
        <x:v>changed</x:v>
      </x:c>
      <x:c r="C23" s="7" t="str">
        <x:v>C</x:v>
      </x:c>
      <x:c r="D23" s="7" t="str">
        <x:v>Run into CB’s lane.</x:v>
      </x:c>
      <x:c r="E23" s="7" t="str">
        <x:v>misread</x:v>
      </x:c>
      <x:c r="F23" s="7" t="str">
        <x:v>This risks losing the relationship we are trying to preserve: Run into CB’s lane.</x:v>
      </x:c>
      <x:c r="G23" s="7" t="str">
        <x:v>Review pause only; no speculative failure animation.</x:v>
      </x:c>
      <x:c r="H23" s="7" t="str">
        <x:v>Offer a shorter angle if CB is rushed.</x:v>
      </x:c>
      <x:c r="I23" s="7" t="str">
        <x:v>MSA01</x:v>
      </x:c>
      <x:c r="J23" s="8" t="str"/>
    </x:row>
    <x:row r="24" ht="116" customHeight="1">
      <x:c r="A24" s="7" t="str">
        <x:v>D02</x:v>
      </x:c>
      <x:c r="B24" s="7" t="str">
        <x:v>changed</x:v>
      </x:c>
      <x:c r="C24" s="7" t="str">
        <x:v>D</x:v>
      </x:c>
      <x:c r="D24" s="7" t="str">
        <x:v>Pause, scan and communicate before committing</x:v>
      </x:c>
      <x:c r="E24" s="7" t="str">
        <x:v>acceptable</x:v>
      </x:c>
      <x:c r="F24" s="7" t="str">
        <x:v>Scanning is useful, but reassess before the opportunity disappears.</x:v>
      </x:c>
      <x:c r="G24" s="7" t="str">
        <x:v>Review pause only; no speculative failure animation.</x:v>
      </x:c>
      <x:c r="H24" s="7" t="str">
        <x:v>Offer a shorter angle if CB is rushed.</x:v>
      </x:c>
      <x:c r="I24" s="7" t="str">
        <x:v>MSA01</x:v>
      </x:c>
      <x:c r="J24" s="8" t="str"/>
    </x:row>
    <x:row r="25" ht="116" customHeight="1">
      <x:c r="A25" s="7" t="str">
        <x:v>D03</x:v>
      </x:c>
      <x:c r="B25" s="7" t="str">
        <x:v>base</x:v>
      </x:c>
      <x:c r="C25" s="7" t="str">
        <x:v>A</x:v>
      </x:c>
      <x:c r="D25" s="7" t="str">
        <x:v>Offer a forward diagonal</x:v>
      </x:c>
      <x:c r="E25" s="7" t="str">
        <x:v>preferred</x:v>
      </x:c>
      <x:c r="F25" s="7" t="str">
        <x:v>Read the original cue: Receiver can face forward; next defender stays deep.</x:v>
      </x:c>
      <x:c r="G25" s="7" t="str">
        <x:v>Illustrative endpoint for this option; no guaranteed goal, turnover or calibrated travel time.</x:v>
      </x:c>
      <x:c r="H25" s="7" t="str">
        <x:v>Offer a forward diagonal.</x:v>
      </x:c>
      <x:c r="I25" s="7" t="str">
        <x:v>MSA01</x:v>
      </x:c>
      <x:c r="J25" s="8" t="str"/>
    </x:row>
    <x:row r="26" ht="116" customHeight="1">
      <x:c r="A26" s="7" t="str">
        <x:v>D03</x:v>
      </x:c>
      <x:c r="B26" s="7" t="str">
        <x:v>base</x:v>
      </x:c>
      <x:c r="C26" s="7" t="str">
        <x:v>B</x:v>
      </x:c>
      <x:c r="D26" s="7" t="str">
        <x:v>Support underneath</x:v>
      </x:c>
      <x:c r="E26" s="7" t="str">
        <x:v>acceptable</x:v>
      </x:c>
      <x:c r="F26" s="7" t="str">
        <x:v>Read the original cue: Receiver can face forward; next defender stays deep.</x:v>
      </x:c>
      <x:c r="G26" s="7" t="str">
        <x:v>Illustrative endpoint for this option; no guaranteed goal, turnover or calibrated travel time.</x:v>
      </x:c>
      <x:c r="H26" s="7" t="str">
        <x:v>Offer a forward diagonal.</x:v>
      </x:c>
      <x:c r="I26" s="7" t="str">
        <x:v>MSA01</x:v>
      </x:c>
      <x:c r="J26" s="8" t="str"/>
    </x:row>
    <x:row r="27" ht="116" customHeight="1">
      <x:c r="A27" s="7" t="str">
        <x:v>D03</x:v>
      </x:c>
      <x:c r="B27" s="7" t="str">
        <x:v>base</x:v>
      </x:c>
      <x:c r="C27" s="7" t="str">
        <x:v>C</x:v>
      </x:c>
      <x:c r="D27" s="7" t="str">
        <x:v>Stand behind a marker.</x:v>
      </x:c>
      <x:c r="E27" s="7" t="str">
        <x:v>misread</x:v>
      </x:c>
      <x:c r="F27" s="7" t="str">
        <x:v>This risks losing the relationship we are trying to preserve: Stand behind a marker.</x:v>
      </x:c>
      <x:c r="G27" s="7" t="str">
        <x:v>Review pause only; no speculative failure animation.</x:v>
      </x:c>
      <x:c r="H27" s="7" t="str">
        <x:v>Offer a forward diagonal.</x:v>
      </x:c>
      <x:c r="I27" s="7" t="str">
        <x:v>MSA01</x:v>
      </x:c>
      <x:c r="J27" s="8" t="str"/>
    </x:row>
    <x:row r="28" ht="116" customHeight="1">
      <x:c r="A28" s="7" t="str">
        <x:v>D03</x:v>
      </x:c>
      <x:c r="B28" s="7" t="str">
        <x:v>base</x:v>
      </x:c>
      <x:c r="C28" s="7" t="str">
        <x:v>D</x:v>
      </x:c>
      <x:c r="D28" s="7" t="str">
        <x:v>Pause, scan and communicate before committing</x:v>
      </x:c>
      <x:c r="E28" s="7" t="str">
        <x:v>acceptable</x:v>
      </x:c>
      <x:c r="F28" s="7" t="str">
        <x:v>Scanning is useful, but reassess before the opportunity disappears.</x:v>
      </x:c>
      <x:c r="G28" s="7" t="str">
        <x:v>Review pause only; no speculative failure animation.</x:v>
      </x:c>
      <x:c r="H28" s="7" t="str">
        <x:v>Offer a forward diagonal.</x:v>
      </x:c>
      <x:c r="I28" s="7" t="str">
        <x:v>MSA01</x:v>
      </x:c>
      <x:c r="J28" s="8" t="str"/>
    </x:row>
    <x:row r="29" ht="116" customHeight="1">
      <x:c r="A29" s="7" t="str">
        <x:v>D03</x:v>
      </x:c>
      <x:c r="B29" s="7" t="str">
        <x:v>changed</x:v>
      </x:c>
      <x:c r="C29" s="7" t="str">
        <x:v>A</x:v>
      </x:c>
      <x:c r="D29" s="7" t="str">
        <x:v>Offer a forward diagonal</x:v>
      </x:c>
      <x:c r="E29" s="7" t="str">
        <x:v>acceptable</x:v>
      </x:c>
      <x:c r="F29" s="7" t="str">
        <x:v>Read the changed cue: The receiver is now pressed tightly; offer a secure route beneath the ball.</x:v>
      </x:c>
      <x:c r="G29" s="7" t="str">
        <x:v>Illustrative endpoint for this option; no guaranteed goal, turnover or calibrated travel time.</x:v>
      </x:c>
      <x:c r="H29" s="7" t="str">
        <x:v>Show underneath if receiver is closed.</x:v>
      </x:c>
      <x:c r="I29" s="7" t="str">
        <x:v>MSA01</x:v>
      </x:c>
      <x:c r="J29" s="8" t="str"/>
    </x:row>
    <x:row r="30" ht="116" customHeight="1">
      <x:c r="A30" s="7" t="str">
        <x:v>D03</x:v>
      </x:c>
      <x:c r="B30" s="7" t="str">
        <x:v>changed</x:v>
      </x:c>
      <x:c r="C30" s="7" t="str">
        <x:v>B</x:v>
      </x:c>
      <x:c r="D30" s="7" t="str">
        <x:v>Support underneath</x:v>
      </x:c>
      <x:c r="E30" s="7" t="str">
        <x:v>preferred</x:v>
      </x:c>
      <x:c r="F30" s="7" t="str">
        <x:v>Read the changed cue: The receiver is now pressed tightly; offer a secure route beneath the ball.</x:v>
      </x:c>
      <x:c r="G30" s="7" t="str">
        <x:v>Illustrative endpoint for this option; no guaranteed goal, turnover or calibrated travel time.</x:v>
      </x:c>
      <x:c r="H30" s="7" t="str">
        <x:v>Show underneath if receiver is closed.</x:v>
      </x:c>
      <x:c r="I30" s="7" t="str">
        <x:v>MSA01</x:v>
      </x:c>
      <x:c r="J30" s="8" t="str"/>
    </x:row>
    <x:row r="31" ht="116" customHeight="1">
      <x:c r="A31" s="7" t="str">
        <x:v>D03</x:v>
      </x:c>
      <x:c r="B31" s="7" t="str">
        <x:v>changed</x:v>
      </x:c>
      <x:c r="C31" s="7" t="str">
        <x:v>C</x:v>
      </x:c>
      <x:c r="D31" s="7" t="str">
        <x:v>Stand behind a marker.</x:v>
      </x:c>
      <x:c r="E31" s="7" t="str">
        <x:v>misread</x:v>
      </x:c>
      <x:c r="F31" s="7" t="str">
        <x:v>This risks losing the relationship we are trying to preserve: Stand behind a marker.</x:v>
      </x:c>
      <x:c r="G31" s="7" t="str">
        <x:v>Review pause only; no speculative failure animation.</x:v>
      </x:c>
      <x:c r="H31" s="7" t="str">
        <x:v>Show underneath if receiver is closed.</x:v>
      </x:c>
      <x:c r="I31" s="7" t="str">
        <x:v>MSA01</x:v>
      </x:c>
      <x:c r="J31" s="8" t="str"/>
    </x:row>
    <x:row r="32" ht="116" customHeight="1">
      <x:c r="A32" s="7" t="str">
        <x:v>D03</x:v>
      </x:c>
      <x:c r="B32" s="7" t="str">
        <x:v>changed</x:v>
      </x:c>
      <x:c r="C32" s="7" t="str">
        <x:v>D</x:v>
      </x:c>
      <x:c r="D32" s="7" t="str">
        <x:v>Pause, scan and communicate before committing</x:v>
      </x:c>
      <x:c r="E32" s="7" t="str">
        <x:v>acceptable</x:v>
      </x:c>
      <x:c r="F32" s="7" t="str">
        <x:v>Scanning is useful, but reassess before the opportunity disappears.</x:v>
      </x:c>
      <x:c r="G32" s="7" t="str">
        <x:v>Review pause only; no speculative failure animation.</x:v>
      </x:c>
      <x:c r="H32" s="7" t="str">
        <x:v>Show underneath if receiver is closed.</x:v>
      </x:c>
      <x:c r="I32" s="7" t="str">
        <x:v>MSA01</x:v>
      </x:c>
      <x:c r="J32" s="8" t="str"/>
    </x:row>
    <x:row r="33" ht="116" customHeight="1">
      <x:c r="A33" s="7" t="str">
        <x:v>D04</x:v>
      </x:c>
      <x:c r="B33" s="7" t="str">
        <x:v>base</x:v>
      </x:c>
      <x:c r="C33" s="7" t="str">
        <x:v>A</x:v>
      </x:c>
      <x:c r="D33" s="7" t="str">
        <x:v>Reset through GK</x:v>
      </x:c>
      <x:c r="E33" s="7" t="str">
        <x:v>preferred</x:v>
      </x:c>
      <x:c r="F33" s="7" t="str">
        <x:v>Read the original cue: Forward lane is screened; GK return is clear.</x:v>
      </x:c>
      <x:c r="G33" s="7" t="str">
        <x:v>Illustrative endpoint for this option; no guaranteed goal, turnover or calibrated travel time.</x:v>
      </x:c>
      <x:c r="H33" s="7" t="str">
        <x:v>Recycle through GK.</x:v>
      </x:c>
      <x:c r="I33" s="7" t="str">
        <x:v>MSA02</x:v>
      </x:c>
      <x:c r="J33" s="8" t="str"/>
    </x:row>
    <x:row r="34" ht="116" customHeight="1">
      <x:c r="A34" s="7" t="str">
        <x:v>D04</x:v>
      </x:c>
      <x:c r="B34" s="7" t="str">
        <x:v>base</x:v>
      </x:c>
      <x:c r="C34" s="7" t="str">
        <x:v>B</x:v>
      </x:c>
      <x:c r="D34" s="7" t="str">
        <x:v>Carry up the open side</x:v>
      </x:c>
      <x:c r="E34" s="7" t="str">
        <x:v>acceptable</x:v>
      </x:c>
      <x:c r="F34" s="7" t="str">
        <x:v>Read the original cue: Forward lane is screened; GK return is clear.</x:v>
      </x:c>
      <x:c r="G34" s="7" t="str">
        <x:v>Illustrative endpoint for this option; no guaranteed goal, turnover or calibrated travel time.</x:v>
      </x:c>
      <x:c r="H34" s="7" t="str">
        <x:v>Recycle through GK.</x:v>
      </x:c>
      <x:c r="I34" s="7" t="str">
        <x:v>MSA02</x:v>
      </x:c>
      <x:c r="J34" s="8" t="str"/>
    </x:row>
    <x:row r="35" ht="116" customHeight="1">
      <x:c r="A35" s="7" t="str">
        <x:v>D04</x:v>
      </x:c>
      <x:c r="B35" s="7" t="str">
        <x:v>base</x:v>
      </x:c>
      <x:c r="C35" s="7" t="str">
        <x:v>C</x:v>
      </x:c>
      <x:c r="D35" s="7" t="str">
        <x:v>Force the screened pass.</x:v>
      </x:c>
      <x:c r="E35" s="7" t="str">
        <x:v>misread</x:v>
      </x:c>
      <x:c r="F35" s="7" t="str">
        <x:v>This risks losing the relationship we are trying to preserve: Force the screened pass.</x:v>
      </x:c>
      <x:c r="G35" s="7" t="str">
        <x:v>Review pause only; no speculative failure animation.</x:v>
      </x:c>
      <x:c r="H35" s="7" t="str">
        <x:v>Recycle through GK.</x:v>
      </x:c>
      <x:c r="I35" s="7" t="str">
        <x:v>MSA02</x:v>
      </x:c>
      <x:c r="J35" s="8" t="str"/>
    </x:row>
    <x:row r="36" ht="116" customHeight="1">
      <x:c r="A36" s="7" t="str">
        <x:v>D04</x:v>
      </x:c>
      <x:c r="B36" s="7" t="str">
        <x:v>base</x:v>
      </x:c>
      <x:c r="C36" s="7" t="str">
        <x:v>D</x:v>
      </x:c>
      <x:c r="D36" s="7" t="str">
        <x:v>Pause, scan and communicate before committing</x:v>
      </x:c>
      <x:c r="E36" s="7" t="str">
        <x:v>acceptable</x:v>
      </x:c>
      <x:c r="F36" s="7" t="str">
        <x:v>Scanning is useful, but reassess before the opportunity disappears.</x:v>
      </x:c>
      <x:c r="G36" s="7" t="str">
        <x:v>Review pause only; no speculative failure animation.</x:v>
      </x:c>
      <x:c r="H36" s="7" t="str">
        <x:v>Recycle through GK.</x:v>
      </x:c>
      <x:c r="I36" s="7" t="str">
        <x:v>MSA02</x:v>
      </x:c>
      <x:c r="J36" s="8" t="str"/>
    </x:row>
    <x:row r="37" ht="116" customHeight="1">
      <x:c r="A37" s="7" t="str">
        <x:v>D04</x:v>
      </x:c>
      <x:c r="B37" s="7" t="str">
        <x:v>changed</x:v>
      </x:c>
      <x:c r="C37" s="7" t="str">
        <x:v>A</x:v>
      </x:c>
      <x:c r="D37" s="7" t="str">
        <x:v>Reset through GK</x:v>
      </x:c>
      <x:c r="E37" s="7" t="str">
        <x:v>acceptable</x:v>
      </x:c>
      <x:c r="F37" s="7" t="str">
        <x:v>Read the changed cue: The wide presser has moved inside; the carrying route has opened.</x:v>
      </x:c>
      <x:c r="G37" s="7" t="str">
        <x:v>Illustrative endpoint for this option; no guaranteed goal, turnover or calibrated travel time.</x:v>
      </x:c>
      <x:c r="H37" s="7" t="str">
        <x:v>Carry if presser releases the lane.</x:v>
      </x:c>
      <x:c r="I37" s="7" t="str">
        <x:v>MSA02</x:v>
      </x:c>
      <x:c r="J37" s="8" t="str"/>
    </x:row>
    <x:row r="38" ht="116" customHeight="1">
      <x:c r="A38" s="7" t="str">
        <x:v>D04</x:v>
      </x:c>
      <x:c r="B38" s="7" t="str">
        <x:v>changed</x:v>
      </x:c>
      <x:c r="C38" s="7" t="str">
        <x:v>B</x:v>
      </x:c>
      <x:c r="D38" s="7" t="str">
        <x:v>Carry up the open side</x:v>
      </x:c>
      <x:c r="E38" s="7" t="str">
        <x:v>preferred</x:v>
      </x:c>
      <x:c r="F38" s="7" t="str">
        <x:v>Read the changed cue: The wide presser has moved inside; the carrying route has opened.</x:v>
      </x:c>
      <x:c r="G38" s="7" t="str">
        <x:v>Illustrative endpoint for this option; no guaranteed goal, turnover or calibrated travel time.</x:v>
      </x:c>
      <x:c r="H38" s="7" t="str">
        <x:v>Carry if presser releases the lane.</x:v>
      </x:c>
      <x:c r="I38" s="7" t="str">
        <x:v>MSA02</x:v>
      </x:c>
      <x:c r="J38" s="8" t="str"/>
    </x:row>
    <x:row r="39" ht="116" customHeight="1">
      <x:c r="A39" s="7" t="str">
        <x:v>D04</x:v>
      </x:c>
      <x:c r="B39" s="7" t="str">
        <x:v>changed</x:v>
      </x:c>
      <x:c r="C39" s="7" t="str">
        <x:v>C</x:v>
      </x:c>
      <x:c r="D39" s="7" t="str">
        <x:v>Force the screened pass.</x:v>
      </x:c>
      <x:c r="E39" s="7" t="str">
        <x:v>misread</x:v>
      </x:c>
      <x:c r="F39" s="7" t="str">
        <x:v>This risks losing the relationship we are trying to preserve: Force the screened pass.</x:v>
      </x:c>
      <x:c r="G39" s="7" t="str">
        <x:v>Review pause only; no speculative failure animation.</x:v>
      </x:c>
      <x:c r="H39" s="7" t="str">
        <x:v>Carry if presser releases the lane.</x:v>
      </x:c>
      <x:c r="I39" s="7" t="str">
        <x:v>MSA02</x:v>
      </x:c>
      <x:c r="J39" s="8" t="str"/>
    </x:row>
    <x:row r="40" ht="116" customHeight="1">
      <x:c r="A40" s="7" t="str">
        <x:v>D04</x:v>
      </x:c>
      <x:c r="B40" s="7" t="str">
        <x:v>changed</x:v>
      </x:c>
      <x:c r="C40" s="7" t="str">
        <x:v>D</x:v>
      </x:c>
      <x:c r="D40" s="7" t="str">
        <x:v>Pause, scan and communicate before committing</x:v>
      </x:c>
      <x:c r="E40" s="7" t="str">
        <x:v>acceptable</x:v>
      </x:c>
      <x:c r="F40" s="7" t="str">
        <x:v>Scanning is useful, but reassess before the opportunity disappears.</x:v>
      </x:c>
      <x:c r="G40" s="7" t="str">
        <x:v>Review pause only; no speculative failure animation.</x:v>
      </x:c>
      <x:c r="H40" s="7" t="str">
        <x:v>Carry if presser releases the lane.</x:v>
      </x:c>
      <x:c r="I40" s="7" t="str">
        <x:v>MSA02</x:v>
      </x:c>
      <x:c r="J40" s="8" t="str"/>
    </x:row>
    <x:row r="41" ht="116" customHeight="1">
      <x:c r="A41" s="7" t="str">
        <x:v>D05</x:v>
      </x:c>
      <x:c r="B41" s="7" t="str">
        <x:v>base</x:v>
      </x:c>
      <x:c r="C41" s="7" t="str">
        <x:v>A</x:v>
      </x:c>
      <x:c r="D41" s="7" t="str">
        <x:v>Keep switch width</x:v>
      </x:c>
      <x:c r="E41" s="7" t="str">
        <x:v>preferred</x:v>
      </x:c>
      <x:c r="F41" s="7" t="str">
        <x:v>Read the original cue: Ball is on opposite flank; switch route is open.</x:v>
      </x:c>
      <x:c r="G41" s="7" t="str">
        <x:v>Illustrative endpoint for this option; no guaranteed goal, turnover or calibrated travel time.</x:v>
      </x:c>
      <x:c r="H41" s="7" t="str">
        <x:v>Keep useful weak-side width.</x:v>
      </x:c>
      <x:c r="I41" s="7" t="str">
        <x:v>MSA02</x:v>
      </x:c>
      <x:c r="J41" s="8" t="str"/>
    </x:row>
    <x:row r="42" ht="116" customHeight="1">
      <x:c r="A42" s="7" t="str">
        <x:v>D05</x:v>
      </x:c>
      <x:c r="B42" s="7" t="str">
        <x:v>base</x:v>
      </x:c>
      <x:c r="C42" s="7" t="str">
        <x:v>B</x:v>
      </x:c>
      <x:c r="D42" s="7" t="str">
        <x:v>Narrow for transition cover</x:v>
      </x:c>
      <x:c r="E42" s="7" t="str">
        <x:v>acceptable</x:v>
      </x:c>
      <x:c r="F42" s="7" t="str">
        <x:v>Read the original cue: Ball is on opposite flank; switch route is open.</x:v>
      </x:c>
      <x:c r="G42" s="7" t="str">
        <x:v>Illustrative endpoint for this option; no guaranteed goal, turnover or calibrated travel time.</x:v>
      </x:c>
      <x:c r="H42" s="7" t="str">
        <x:v>Keep useful weak-side width.</x:v>
      </x:c>
      <x:c r="I42" s="7" t="str">
        <x:v>MSA02</x:v>
      </x:c>
      <x:c r="J42" s="8" t="str"/>
    </x:row>
    <x:row r="43" ht="116" customHeight="1">
      <x:c r="A43" s="7" t="str">
        <x:v>D05</x:v>
      </x:c>
      <x:c r="B43" s="7" t="str">
        <x:v>base</x:v>
      </x:c>
      <x:c r="C43" s="7" t="str">
        <x:v>C</x:v>
      </x:c>
      <x:c r="D43" s="7" t="str">
        <x:v>Follow everyone to the ball.</x:v>
      </x:c>
      <x:c r="E43" s="7" t="str">
        <x:v>misread</x:v>
      </x:c>
      <x:c r="F43" s="7" t="str">
        <x:v>This risks losing the relationship we are trying to preserve: Follow everyone to the ball.</x:v>
      </x:c>
      <x:c r="G43" s="7" t="str">
        <x:v>Review pause only; no speculative failure animation.</x:v>
      </x:c>
      <x:c r="H43" s="7" t="str">
        <x:v>Keep useful weak-side width.</x:v>
      </x:c>
      <x:c r="I43" s="7" t="str">
        <x:v>MSA02</x:v>
      </x:c>
      <x:c r="J43" s="8" t="str"/>
    </x:row>
    <x:row r="44" ht="116" customHeight="1">
      <x:c r="A44" s="7" t="str">
        <x:v>D05</x:v>
      </x:c>
      <x:c r="B44" s="7" t="str">
        <x:v>base</x:v>
      </x:c>
      <x:c r="C44" s="7" t="str">
        <x:v>D</x:v>
      </x:c>
      <x:c r="D44" s="7" t="str">
        <x:v>Pause, scan and communicate before committing</x:v>
      </x:c>
      <x:c r="E44" s="7" t="str">
        <x:v>acceptable</x:v>
      </x:c>
      <x:c r="F44" s="7" t="str">
        <x:v>Scanning is useful, but reassess before the opportunity disappears.</x:v>
      </x:c>
      <x:c r="G44" s="7" t="str">
        <x:v>Review pause only; no speculative failure animation.</x:v>
      </x:c>
      <x:c r="H44" s="7" t="str">
        <x:v>Keep useful weak-side width.</x:v>
      </x:c>
      <x:c r="I44" s="7" t="str">
        <x:v>MSA02</x:v>
      </x:c>
      <x:c r="J44" s="8" t="str"/>
    </x:row>
    <x:row r="45" ht="116" customHeight="1">
      <x:c r="A45" s="7" t="str">
        <x:v>D05</x:v>
      </x:c>
      <x:c r="B45" s="7" t="str">
        <x:v>changed</x:v>
      </x:c>
      <x:c r="C45" s="7" t="str">
        <x:v>A</x:v>
      </x:c>
      <x:c r="D45" s="7" t="str">
        <x:v>Keep switch width</x:v>
      </x:c>
      <x:c r="E45" s="7" t="str">
        <x:v>acceptable</x:v>
      </x:c>
      <x:c r="F45" s="7" t="str">
        <x:v>Read the changed cue: LB is trapped and the central outlet is threatened; prepare for a possible turnover.</x:v>
      </x:c>
      <x:c r="G45" s="7" t="str">
        <x:v>Illustrative endpoint for this option; no guaranteed goal, turnover or calibrated travel time.</x:v>
      </x:c>
      <x:c r="H45" s="7" t="str">
        <x:v>Narrow if a turnover threatens.</x:v>
      </x:c>
      <x:c r="I45" s="7" t="str">
        <x:v>MSA02</x:v>
      </x:c>
      <x:c r="J45" s="8" t="str"/>
    </x:row>
    <x:row r="46" ht="116" customHeight="1">
      <x:c r="A46" s="7" t="str">
        <x:v>D05</x:v>
      </x:c>
      <x:c r="B46" s="7" t="str">
        <x:v>changed</x:v>
      </x:c>
      <x:c r="C46" s="7" t="str">
        <x:v>B</x:v>
      </x:c>
      <x:c r="D46" s="7" t="str">
        <x:v>Narrow for transition cover</x:v>
      </x:c>
      <x:c r="E46" s="7" t="str">
        <x:v>preferred</x:v>
      </x:c>
      <x:c r="F46" s="7" t="str">
        <x:v>Read the changed cue: LB is trapped and the central outlet is threatened; prepare for a possible turnover.</x:v>
      </x:c>
      <x:c r="G46" s="7" t="str">
        <x:v>Illustrative endpoint for this option; no guaranteed goal, turnover or calibrated travel time.</x:v>
      </x:c>
      <x:c r="H46" s="7" t="str">
        <x:v>Narrow if a turnover threatens.</x:v>
      </x:c>
      <x:c r="I46" s="7" t="str">
        <x:v>MSA02</x:v>
      </x:c>
      <x:c r="J46" s="8" t="str"/>
    </x:row>
    <x:row r="47" ht="116" customHeight="1">
      <x:c r="A47" s="7" t="str">
        <x:v>D05</x:v>
      </x:c>
      <x:c r="B47" s="7" t="str">
        <x:v>changed</x:v>
      </x:c>
      <x:c r="C47" s="7" t="str">
        <x:v>C</x:v>
      </x:c>
      <x:c r="D47" s="7" t="str">
        <x:v>Follow everyone to the ball.</x:v>
      </x:c>
      <x:c r="E47" s="7" t="str">
        <x:v>misread</x:v>
      </x:c>
      <x:c r="F47" s="7" t="str">
        <x:v>This risks losing the relationship we are trying to preserve: Follow everyone to the ball.</x:v>
      </x:c>
      <x:c r="G47" s="7" t="str">
        <x:v>Review pause only; no speculative failure animation.</x:v>
      </x:c>
      <x:c r="H47" s="7" t="str">
        <x:v>Narrow if a turnover threatens.</x:v>
      </x:c>
      <x:c r="I47" s="7" t="str">
        <x:v>MSA02</x:v>
      </x:c>
      <x:c r="J47" s="8" t="str"/>
    </x:row>
    <x:row r="48" ht="116" customHeight="1">
      <x:c r="A48" s="7" t="str">
        <x:v>D05</x:v>
      </x:c>
      <x:c r="B48" s="7" t="str">
        <x:v>changed</x:v>
      </x:c>
      <x:c r="C48" s="7" t="str">
        <x:v>D</x:v>
      </x:c>
      <x:c r="D48" s="7" t="str">
        <x:v>Pause, scan and communicate before committing</x:v>
      </x:c>
      <x:c r="E48" s="7" t="str">
        <x:v>acceptable</x:v>
      </x:c>
      <x:c r="F48" s="7" t="str">
        <x:v>Scanning is useful, but reassess before the opportunity disappears.</x:v>
      </x:c>
      <x:c r="G48" s="7" t="str">
        <x:v>Review pause only; no speculative failure animation.</x:v>
      </x:c>
      <x:c r="H48" s="7" t="str">
        <x:v>Narrow if a turnover threatens.</x:v>
      </x:c>
      <x:c r="I48" s="7" t="str">
        <x:v>MSA02</x:v>
      </x:c>
      <x:c r="J48" s="8" t="str"/>
    </x:row>
    <x:row r="49" ht="116" customHeight="1">
      <x:c r="A49" s="7" t="str">
        <x:v>D06</x:v>
      </x:c>
      <x:c r="B49" s="7" t="str">
        <x:v>base</x:v>
      </x:c>
      <x:c r="C49" s="7" t="str">
        <x:v>A</x:v>
      </x:c>
      <x:c r="D49" s="7" t="str">
        <x:v>Show a short support angle</x:v>
      </x:c>
      <x:c r="E49" s="7" t="str">
        <x:v>preferred</x:v>
      </x:c>
      <x:c r="F49" s="7" t="str">
        <x:v>Read the original cue: Outside back receives under pressure.</x:v>
      </x:c>
      <x:c r="G49" s="7" t="str">
        <x:v>Illustrative endpoint for this option; no guaranteed goal, turnover or calibrated travel time.</x:v>
      </x:c>
      <x:c r="H49" s="7" t="str">
        <x:v>Show an accessible support angle.</x:v>
      </x:c>
      <x:c r="I49" s="7" t="str">
        <x:v>MSA02</x:v>
      </x:c>
      <x:c r="J49" s="8" t="str"/>
    </x:row>
    <x:row r="50" ht="116" customHeight="1">
      <x:c r="A50" s="7" t="str">
        <x:v>D06</x:v>
      </x:c>
      <x:c r="B50" s="7" t="str">
        <x:v>base</x:v>
      </x:c>
      <x:c r="C50" s="7" t="str">
        <x:v>B</x:v>
      </x:c>
      <x:c r="D50" s="7" t="str">
        <x:v>Offer higher support</x:v>
      </x:c>
      <x:c r="E50" s="7" t="str">
        <x:v>acceptable</x:v>
      </x:c>
      <x:c r="F50" s="7" t="str">
        <x:v>Read the original cue: Outside back receives under pressure.</x:v>
      </x:c>
      <x:c r="G50" s="7" t="str">
        <x:v>Illustrative endpoint for this option; no guaranteed goal, turnover or calibrated travel time.</x:v>
      </x:c>
      <x:c r="H50" s="7" t="str">
        <x:v>Show an accessible support angle.</x:v>
      </x:c>
      <x:c r="I50" s="7" t="str">
        <x:v>MSA02</x:v>
      </x:c>
      <x:c r="J50" s="8" t="str"/>
    </x:row>
    <x:row r="51" ht="116" customHeight="1">
      <x:c r="A51" s="7" t="str">
        <x:v>D06</x:v>
      </x:c>
      <x:c r="B51" s="7" t="str">
        <x:v>base</x:v>
      </x:c>
      <x:c r="C51" s="7" t="str">
        <x:v>C</x:v>
      </x:c>
      <x:c r="D51" s="7" t="str">
        <x:v>Hide on the same line as a marker.</x:v>
      </x:c>
      <x:c r="E51" s="7" t="str">
        <x:v>misread</x:v>
      </x:c>
      <x:c r="F51" s="7" t="str">
        <x:v>This risks losing the relationship we are trying to preserve: Hide on the same line as a marker.</x:v>
      </x:c>
      <x:c r="G51" s="7" t="str">
        <x:v>Review pause only; no speculative failure animation.</x:v>
      </x:c>
      <x:c r="H51" s="7" t="str">
        <x:v>Show an accessible support angle.</x:v>
      </x:c>
      <x:c r="I51" s="7" t="str">
        <x:v>MSA02</x:v>
      </x:c>
      <x:c r="J51" s="8" t="str"/>
    </x:row>
    <x:row r="52" ht="116" customHeight="1">
      <x:c r="A52" s="7" t="str">
        <x:v>D06</x:v>
      </x:c>
      <x:c r="B52" s="7" t="str">
        <x:v>base</x:v>
      </x:c>
      <x:c r="C52" s="7" t="str">
        <x:v>D</x:v>
      </x:c>
      <x:c r="D52" s="7" t="str">
        <x:v>Pause, scan and communicate before committing</x:v>
      </x:c>
      <x:c r="E52" s="7" t="str">
        <x:v>acceptable</x:v>
      </x:c>
      <x:c r="F52" s="7" t="str">
        <x:v>Scanning is useful, but reassess before the opportunity disappears.</x:v>
      </x:c>
      <x:c r="G52" s="7" t="str">
        <x:v>Review pause only; no speculative failure animation.</x:v>
      </x:c>
      <x:c r="H52" s="7" t="str">
        <x:v>Show an accessible support angle.</x:v>
      </x:c>
      <x:c r="I52" s="7" t="str">
        <x:v>MSA02</x:v>
      </x:c>
      <x:c r="J52" s="8" t="str"/>
    </x:row>
    <x:row r="53" ht="116" customHeight="1">
      <x:c r="A53" s="7" t="str">
        <x:v>D06</x:v>
      </x:c>
      <x:c r="B53" s="7" t="str">
        <x:v>changed</x:v>
      </x:c>
      <x:c r="C53" s="7" t="str">
        <x:v>A</x:v>
      </x:c>
      <x:c r="D53" s="7" t="str">
        <x:v>Show a short support angle</x:v>
      </x:c>
      <x:c r="E53" s="7" t="str">
        <x:v>acceptable</x:v>
      </x:c>
      <x:c r="F53" s="7" t="str">
        <x:v>Read the changed cue: LB can advance in space; avoid bringing your marker into that route.</x:v>
      </x:c>
      <x:c r="G53" s="7" t="str">
        <x:v>Illustrative endpoint for this option; no guaranteed goal, turnover or calibrated travel time.</x:v>
      </x:c>
      <x:c r="H53" s="7" t="str">
        <x:v>Stay higher if the back can advance safely.</x:v>
      </x:c>
      <x:c r="I53" s="7" t="str">
        <x:v>MSA02</x:v>
      </x:c>
      <x:c r="J53" s="8" t="str"/>
    </x:row>
    <x:row r="54" ht="116" customHeight="1">
      <x:c r="A54" s="7" t="str">
        <x:v>D06</x:v>
      </x:c>
      <x:c r="B54" s="7" t="str">
        <x:v>changed</x:v>
      </x:c>
      <x:c r="C54" s="7" t="str">
        <x:v>B</x:v>
      </x:c>
      <x:c r="D54" s="7" t="str">
        <x:v>Offer higher support</x:v>
      </x:c>
      <x:c r="E54" s="7" t="str">
        <x:v>preferred</x:v>
      </x:c>
      <x:c r="F54" s="7" t="str">
        <x:v>Read the changed cue: LB can advance in space; avoid bringing your marker into that route.</x:v>
      </x:c>
      <x:c r="G54" s="7" t="str">
        <x:v>Illustrative endpoint for this option; no guaranteed goal, turnover or calibrated travel time.</x:v>
      </x:c>
      <x:c r="H54" s="7" t="str">
        <x:v>Stay higher if the back can advance safely.</x:v>
      </x:c>
      <x:c r="I54" s="7" t="str">
        <x:v>MSA02</x:v>
      </x:c>
      <x:c r="J54" s="8" t="str"/>
    </x:row>
    <x:row r="55" ht="116" customHeight="1">
      <x:c r="A55" s="7" t="str">
        <x:v>D06</x:v>
      </x:c>
      <x:c r="B55" s="7" t="str">
        <x:v>changed</x:v>
      </x:c>
      <x:c r="C55" s="7" t="str">
        <x:v>C</x:v>
      </x:c>
      <x:c r="D55" s="7" t="str">
        <x:v>Hide on the same line as a marker.</x:v>
      </x:c>
      <x:c r="E55" s="7" t="str">
        <x:v>misread</x:v>
      </x:c>
      <x:c r="F55" s="7" t="str">
        <x:v>This risks losing the relationship we are trying to preserve: Hide on the same line as a marker.</x:v>
      </x:c>
      <x:c r="G55" s="7" t="str">
        <x:v>Review pause only; no speculative failure animation.</x:v>
      </x:c>
      <x:c r="H55" s="7" t="str">
        <x:v>Stay higher if the back can advance safely.</x:v>
      </x:c>
      <x:c r="I55" s="7" t="str">
        <x:v>MSA02</x:v>
      </x:c>
      <x:c r="J55" s="8" t="str"/>
    </x:row>
    <x:row r="56" ht="116" customHeight="1">
      <x:c r="A56" s="7" t="str">
        <x:v>D06</x:v>
      </x:c>
      <x:c r="B56" s="7" t="str">
        <x:v>changed</x:v>
      </x:c>
      <x:c r="C56" s="7" t="str">
        <x:v>D</x:v>
      </x:c>
      <x:c r="D56" s="7" t="str">
        <x:v>Pause, scan and communicate before committing</x:v>
      </x:c>
      <x:c r="E56" s="7" t="str">
        <x:v>acceptable</x:v>
      </x:c>
      <x:c r="F56" s="7" t="str">
        <x:v>Scanning is useful, but reassess before the opportunity disappears.</x:v>
      </x:c>
      <x:c r="G56" s="7" t="str">
        <x:v>Review pause only; no speculative failure animation.</x:v>
      </x:c>
      <x:c r="H56" s="7" t="str">
        <x:v>Stay higher if the back can advance safely.</x:v>
      </x:c>
      <x:c r="I56" s="7" t="str">
        <x:v>MSA02</x:v>
      </x:c>
      <x:c r="J56" s="8" t="str"/>
    </x:row>
    <x:row r="57" ht="116" customHeight="1">
      <x:c r="A57" s="7" t="str">
        <x:v>D07</x:v>
      </x:c>
      <x:c r="B57" s="7" t="str">
        <x:v>base</x:v>
      </x:c>
      <x:c r="C57" s="7" t="str">
        <x:v>A</x:v>
      </x:c>
      <x:c r="D57" s="7" t="str">
        <x:v>Carry to engage the defender</x:v>
      </x:c>
      <x:c r="E57" s="7" t="str">
        <x:v>preferred</x:v>
      </x:c>
      <x:c r="F57" s="7" t="str">
        <x:v>Read the original cue: Wide defender is isolated; supporting teammate is available.</x:v>
      </x:c>
      <x:c r="G57" s="7" t="str">
        <x:v>Illustrative endpoint for this option; no guaranteed goal, turnover or calibrated travel time.</x:v>
      </x:c>
      <x:c r="H57" s="7" t="str">
        <x:v>Engage defender, read their response.</x:v>
      </x:c>
      <x:c r="I57" s="7" t="str">
        <x:v>MSA03</x:v>
      </x:c>
      <x:c r="J57" s="8" t="str"/>
    </x:row>
    <x:row r="58" ht="116" customHeight="1">
      <x:c r="A58" s="7" t="str">
        <x:v>D07</x:v>
      </x:c>
      <x:c r="B58" s="7" t="str">
        <x:v>base</x:v>
      </x:c>
      <x:c r="C58" s="7" t="str">
        <x:v>B</x:v>
      </x:c>
      <x:c r="D58" s="7" t="str">
        <x:v>Release inside to CM</x:v>
      </x:c>
      <x:c r="E58" s="7" t="str">
        <x:v>acceptable</x:v>
      </x:c>
      <x:c r="F58" s="7" t="str">
        <x:v>Read the original cue: Wide defender is isolated; supporting teammate is available.</x:v>
      </x:c>
      <x:c r="G58" s="7" t="str">
        <x:v>Illustrative endpoint for this option; no guaranteed goal, turnover or calibrated travel time.</x:v>
      </x:c>
      <x:c r="H58" s="7" t="str">
        <x:v>Engage defender, read their response.</x:v>
      </x:c>
      <x:c r="I58" s="7" t="str">
        <x:v>MSA03</x:v>
      </x:c>
      <x:c r="J58" s="8" t="str"/>
    </x:row>
    <x:row r="59" ht="116" customHeight="1">
      <x:c r="A59" s="7" t="str">
        <x:v>D07</x:v>
      </x:c>
      <x:c r="B59" s="7" t="str">
        <x:v>base</x:v>
      </x:c>
      <x:c r="C59" s="7" t="str">
        <x:v>C</x:v>
      </x:c>
      <x:c r="D59" s="7" t="str">
        <x:v>Dribble into the covering defender.</x:v>
      </x:c>
      <x:c r="E59" s="7" t="str">
        <x:v>misread</x:v>
      </x:c>
      <x:c r="F59" s="7" t="str">
        <x:v>This risks losing the relationship we are trying to preserve: Dribble into the covering defender.</x:v>
      </x:c>
      <x:c r="G59" s="7" t="str">
        <x:v>Review pause only; no speculative failure animation.</x:v>
      </x:c>
      <x:c r="H59" s="7" t="str">
        <x:v>Engage defender, read their response.</x:v>
      </x:c>
      <x:c r="I59" s="7" t="str">
        <x:v>MSA03</x:v>
      </x:c>
      <x:c r="J59" s="8" t="str"/>
    </x:row>
    <x:row r="60" ht="116" customHeight="1">
      <x:c r="A60" s="7" t="str">
        <x:v>D07</x:v>
      </x:c>
      <x:c r="B60" s="7" t="str">
        <x:v>base</x:v>
      </x:c>
      <x:c r="C60" s="7" t="str">
        <x:v>D</x:v>
      </x:c>
      <x:c r="D60" s="7" t="str">
        <x:v>Pause, scan and communicate before committing</x:v>
      </x:c>
      <x:c r="E60" s="7" t="str">
        <x:v>acceptable</x:v>
      </x:c>
      <x:c r="F60" s="7" t="str">
        <x:v>Scanning is useful, but reassess before the opportunity disappears.</x:v>
      </x:c>
      <x:c r="G60" s="7" t="str">
        <x:v>Review pause only; no speculative failure animation.</x:v>
      </x:c>
      <x:c r="H60" s="7" t="str">
        <x:v>Engage defender, read their response.</x:v>
      </x:c>
      <x:c r="I60" s="7" t="str">
        <x:v>MSA03</x:v>
      </x:c>
      <x:c r="J60" s="8" t="str"/>
    </x:row>
    <x:row r="61" ht="116" customHeight="1">
      <x:c r="A61" s="7" t="str">
        <x:v>D07</x:v>
      </x:c>
      <x:c r="B61" s="7" t="str">
        <x:v>changed</x:v>
      </x:c>
      <x:c r="C61" s="7" t="str">
        <x:v>A</x:v>
      </x:c>
      <x:c r="D61" s="7" t="str">
        <x:v>Carry to engage the defender</x:v>
      </x:c>
      <x:c r="E61" s="7" t="str">
        <x:v>misread</x:v>
      </x:c>
      <x:c r="F61" s="7" t="str">
        <x:v>This action is not supported by the current cue. The defender closes the carrier; the inside support pass is still available.</x:v>
      </x:c>
      <x:c r="G61" s="7" t="str">
        <x:v>Freeze for explanation; do not illustrate a successful outcome for an unavailable action.</x:v>
      </x:c>
      <x:c r="H61" s="7" t="str">
        <x:v>Pass when defender commits.</x:v>
      </x:c>
      <x:c r="I61" s="7" t="str">
        <x:v>MSA03</x:v>
      </x:c>
      <x:c r="J61" s="8" t="str"/>
    </x:row>
    <x:row r="62" ht="116" customHeight="1">
      <x:c r="A62" s="7" t="str">
        <x:v>D07</x:v>
      </x:c>
      <x:c r="B62" s="7" t="str">
        <x:v>changed</x:v>
      </x:c>
      <x:c r="C62" s="7" t="str">
        <x:v>B</x:v>
      </x:c>
      <x:c r="D62" s="7" t="str">
        <x:v>Release inside to CM</x:v>
      </x:c>
      <x:c r="E62" s="7" t="str">
        <x:v>preferred</x:v>
      </x:c>
      <x:c r="F62" s="7" t="str">
        <x:v>Read the changed cue: The defender closes the carrier; the inside support pass is still available.</x:v>
      </x:c>
      <x:c r="G62" s="7" t="str">
        <x:v>Illustrative endpoint for this option; no guaranteed goal, turnover or calibrated travel time.</x:v>
      </x:c>
      <x:c r="H62" s="7" t="str">
        <x:v>Pass when defender commits.</x:v>
      </x:c>
      <x:c r="I62" s="7" t="str">
        <x:v>MSA03</x:v>
      </x:c>
      <x:c r="J62" s="8" t="str"/>
    </x:row>
    <x:row r="63" ht="116" customHeight="1">
      <x:c r="A63" s="7" t="str">
        <x:v>D07</x:v>
      </x:c>
      <x:c r="B63" s="7" t="str">
        <x:v>changed</x:v>
      </x:c>
      <x:c r="C63" s="7" t="str">
        <x:v>C</x:v>
      </x:c>
      <x:c r="D63" s="7" t="str">
        <x:v>Dribble into the covering defender.</x:v>
      </x:c>
      <x:c r="E63" s="7" t="str">
        <x:v>misread</x:v>
      </x:c>
      <x:c r="F63" s="7" t="str">
        <x:v>This risks losing the relationship we are trying to preserve: Dribble into the covering defender.</x:v>
      </x:c>
      <x:c r="G63" s="7" t="str">
        <x:v>Review pause only; no speculative failure animation.</x:v>
      </x:c>
      <x:c r="H63" s="7" t="str">
        <x:v>Pass when defender commits.</x:v>
      </x:c>
      <x:c r="I63" s="7" t="str">
        <x:v>MSA03</x:v>
      </x:c>
      <x:c r="J63" s="8" t="str"/>
    </x:row>
    <x:row r="64" ht="116" customHeight="1">
      <x:c r="A64" s="7" t="str">
        <x:v>D07</x:v>
      </x:c>
      <x:c r="B64" s="7" t="str">
        <x:v>changed</x:v>
      </x:c>
      <x:c r="C64" s="7" t="str">
        <x:v>D</x:v>
      </x:c>
      <x:c r="D64" s="7" t="str">
        <x:v>Pause, scan and communicate before committing</x:v>
      </x:c>
      <x:c r="E64" s="7" t="str">
        <x:v>acceptable</x:v>
      </x:c>
      <x:c r="F64" s="7" t="str">
        <x:v>Scanning is useful, but reassess before the opportunity disappears.</x:v>
      </x:c>
      <x:c r="G64" s="7" t="str">
        <x:v>Review pause only; no speculative failure animation.</x:v>
      </x:c>
      <x:c r="H64" s="7" t="str">
        <x:v>Pass when defender commits.</x:v>
      </x:c>
      <x:c r="I64" s="7" t="str">
        <x:v>MSA03</x:v>
      </x:c>
      <x:c r="J64" s="8" t="str"/>
    </x:row>
    <x:row r="65" ht="116" customHeight="1">
      <x:c r="A65" s="7" t="str">
        <x:v>D08</x:v>
      </x:c>
      <x:c r="B65" s="7" t="str">
        <x:v>base</x:v>
      </x:c>
      <x:c r="C65" s="7" t="str">
        <x:v>A</x:v>
      </x:c>
      <x:c r="D65" s="7" t="str">
        <x:v>Switch to RW</x:v>
      </x:c>
      <x:c r="E65" s="7" t="str">
        <x:v>preferred</x:v>
      </x:c>
      <x:c r="F65" s="7" t="str">
        <x:v>Read the original cue: Wing is crowded; far-side route is clear.</x:v>
      </x:c>
      <x:c r="G65" s="7" t="str">
        <x:v>Illustrative endpoint for this option; no guaranteed goal, turnover or calibrated travel time.</x:v>
      </x:c>
      <x:c r="H65" s="7" t="str">
        <x:v>Connect the switch.</x:v>
      </x:c>
      <x:c r="I65" s="7" t="str">
        <x:v>MSA03</x:v>
      </x:c>
      <x:c r="J65" s="8" t="str"/>
    </x:row>
    <x:row r="66" ht="116" customHeight="1">
      <x:c r="A66" s="7" t="str">
        <x:v>D08</x:v>
      </x:c>
      <x:c r="B66" s="7" t="str">
        <x:v>base</x:v>
      </x:c>
      <x:c r="C66" s="7" t="str">
        <x:v>B</x:v>
      </x:c>
      <x:c r="D66" s="7" t="str">
        <x:v>Combine with LW</x:v>
      </x:c>
      <x:c r="E66" s="7" t="str">
        <x:v>acceptable</x:v>
      </x:c>
      <x:c r="F66" s="7" t="str">
        <x:v>Read the original cue: Wing is crowded; far-side route is clear.</x:v>
      </x:c>
      <x:c r="G66" s="7" t="str">
        <x:v>Illustrative endpoint for this option; no guaranteed goal, turnover or calibrated travel time.</x:v>
      </x:c>
      <x:c r="H66" s="7" t="str">
        <x:v>Connect the switch.</x:v>
      </x:c>
      <x:c r="I66" s="7" t="str">
        <x:v>MSA03</x:v>
      </x:c>
      <x:c r="J66" s="8" t="str"/>
    </x:row>
    <x:row r="67" ht="116" customHeight="1">
      <x:c r="A67" s="7" t="str">
        <x:v>D08</x:v>
      </x:c>
      <x:c r="B67" s="7" t="str">
        <x:v>base</x:v>
      </x:c>
      <x:c r="C67" s="7" t="str">
        <x:v>C</x:v>
      </x:c>
      <x:c r="D67" s="7" t="str">
        <x:v>Force a crowded forward pass.</x:v>
      </x:c>
      <x:c r="E67" s="7" t="str">
        <x:v>misread</x:v>
      </x:c>
      <x:c r="F67" s="7" t="str">
        <x:v>This risks losing the relationship we are trying to preserve: Force a crowded forward pass.</x:v>
      </x:c>
      <x:c r="G67" s="7" t="str">
        <x:v>Review pause only; no speculative failure animation.</x:v>
      </x:c>
      <x:c r="H67" s="7" t="str">
        <x:v>Connect the switch.</x:v>
      </x:c>
      <x:c r="I67" s="7" t="str">
        <x:v>MSA03</x:v>
      </x:c>
      <x:c r="J67" s="8" t="str"/>
    </x:row>
    <x:row r="68" ht="116" customHeight="1">
      <x:c r="A68" s="7" t="str">
        <x:v>D08</x:v>
      </x:c>
      <x:c r="B68" s="7" t="str">
        <x:v>base</x:v>
      </x:c>
      <x:c r="C68" s="7" t="str">
        <x:v>D</x:v>
      </x:c>
      <x:c r="D68" s="7" t="str">
        <x:v>Pause, scan and communicate before committing</x:v>
      </x:c>
      <x:c r="E68" s="7" t="str">
        <x:v>acceptable</x:v>
      </x:c>
      <x:c r="F68" s="7" t="str">
        <x:v>Scanning is useful, but reassess before the opportunity disappears.</x:v>
      </x:c>
      <x:c r="G68" s="7" t="str">
        <x:v>Review pause only; no speculative failure animation.</x:v>
      </x:c>
      <x:c r="H68" s="7" t="str">
        <x:v>Connect the switch.</x:v>
      </x:c>
      <x:c r="I68" s="7" t="str">
        <x:v>MSA03</x:v>
      </x:c>
      <x:c r="J68" s="8" t="str"/>
    </x:row>
    <x:row r="69" ht="116" customHeight="1">
      <x:c r="A69" s="7" t="str">
        <x:v>D08</x:v>
      </x:c>
      <x:c r="B69" s="7" t="str">
        <x:v>changed</x:v>
      </x:c>
      <x:c r="C69" s="7" t="str">
        <x:v>A</x:v>
      </x:c>
      <x:c r="D69" s="7" t="str">
        <x:v>Switch to RW</x:v>
      </x:c>
      <x:c r="E69" s="7" t="str">
        <x:v>misread</x:v>
      </x:c>
      <x:c r="F69" s="7" t="str">
        <x:v>This action is not supported by the current cue. The direct switch is screened, while the left-side combination has opened.</x:v>
      </x:c>
      <x:c r="G69" s="7" t="str">
        <x:v>Freeze for explanation; do not illustrate a successful outcome for an unavailable action.</x:v>
      </x:c>
      <x:c r="H69" s="7" t="str">
        <x:v>Combine locally if the overload remains.</x:v>
      </x:c>
      <x:c r="I69" s="7" t="str">
        <x:v>MSA03</x:v>
      </x:c>
      <x:c r="J69" s="8" t="str"/>
    </x:row>
    <x:row r="70" ht="116" customHeight="1">
      <x:c r="A70" s="7" t="str">
        <x:v>D08</x:v>
      </x:c>
      <x:c r="B70" s="7" t="str">
        <x:v>changed</x:v>
      </x:c>
      <x:c r="C70" s="7" t="str">
        <x:v>B</x:v>
      </x:c>
      <x:c r="D70" s="7" t="str">
        <x:v>Combine with LW</x:v>
      </x:c>
      <x:c r="E70" s="7" t="str">
        <x:v>preferred</x:v>
      </x:c>
      <x:c r="F70" s="7" t="str">
        <x:v>Read the changed cue: The direct switch is screened, while the left-side combination has opened.</x:v>
      </x:c>
      <x:c r="G70" s="7" t="str">
        <x:v>Illustrative endpoint for this option; no guaranteed goal, turnover or calibrated travel time.</x:v>
      </x:c>
      <x:c r="H70" s="7" t="str">
        <x:v>Combine locally if the overload remains.</x:v>
      </x:c>
      <x:c r="I70" s="7" t="str">
        <x:v>MSA03</x:v>
      </x:c>
      <x:c r="J70" s="8" t="str"/>
    </x:row>
    <x:row r="71" ht="116" customHeight="1">
      <x:c r="A71" s="7" t="str">
        <x:v>D08</x:v>
      </x:c>
      <x:c r="B71" s="7" t="str">
        <x:v>changed</x:v>
      </x:c>
      <x:c r="C71" s="7" t="str">
        <x:v>C</x:v>
      </x:c>
      <x:c r="D71" s="7" t="str">
        <x:v>Force a crowded forward pass.</x:v>
      </x:c>
      <x:c r="E71" s="7" t="str">
        <x:v>misread</x:v>
      </x:c>
      <x:c r="F71" s="7" t="str">
        <x:v>This risks losing the relationship we are trying to preserve: Force a crowded forward pass.</x:v>
      </x:c>
      <x:c r="G71" s="7" t="str">
        <x:v>Review pause only; no speculative failure animation.</x:v>
      </x:c>
      <x:c r="H71" s="7" t="str">
        <x:v>Combine locally if the overload remains.</x:v>
      </x:c>
      <x:c r="I71" s="7" t="str">
        <x:v>MSA03</x:v>
      </x:c>
      <x:c r="J71" s="8" t="str"/>
    </x:row>
    <x:row r="72" ht="116" customHeight="1">
      <x:c r="A72" s="7" t="str">
        <x:v>D08</x:v>
      </x:c>
      <x:c r="B72" s="7" t="str">
        <x:v>changed</x:v>
      </x:c>
      <x:c r="C72" s="7" t="str">
        <x:v>D</x:v>
      </x:c>
      <x:c r="D72" s="7" t="str">
        <x:v>Pause, scan and communicate before committing</x:v>
      </x:c>
      <x:c r="E72" s="7" t="str">
        <x:v>acceptable</x:v>
      </x:c>
      <x:c r="F72" s="7" t="str">
        <x:v>Scanning is useful, but reassess before the opportunity disappears.</x:v>
      </x:c>
      <x:c r="G72" s="7" t="str">
        <x:v>Review pause only; no speculative failure animation.</x:v>
      </x:c>
      <x:c r="H72" s="7" t="str">
        <x:v>Combine locally if the overload remains.</x:v>
      </x:c>
      <x:c r="I72" s="7" t="str">
        <x:v>MSA03</x:v>
      </x:c>
      <x:c r="J72" s="8" t="str"/>
    </x:row>
    <x:row r="73" ht="116" customHeight="1">
      <x:c r="A73" s="7" t="str">
        <x:v>D09</x:v>
      </x:c>
      <x:c r="B73" s="7" t="str">
        <x:v>base</x:v>
      </x:c>
      <x:c r="C73" s="7" t="str">
        <x:v>A</x:v>
      </x:c>
      <x:c r="D73" s="7" t="str">
        <x:v>Separate toward the touchline</x:v>
      </x:c>
      <x:c r="E73" s="7" t="str">
        <x:v>preferred</x:v>
      </x:c>
      <x:c r="F73" s="7" t="str">
        <x:v>Read the original cue: Teammate drives inside and occupies your lane.</x:v>
      </x:c>
      <x:c r="G73" s="7" t="str">
        <x:v>Illustrative endpoint for this option; no guaranteed goal, turnover or calibrated travel time.</x:v>
      </x:c>
      <x:c r="H73" s="7" t="str">
        <x:v>Separate to provide another lane.</x:v>
      </x:c>
      <x:c r="I73" s="7" t="str">
        <x:v>MSA03</x:v>
      </x:c>
      <x:c r="J73" s="8" t="str"/>
    </x:row>
    <x:row r="74" ht="116" customHeight="1">
      <x:c r="A74" s="7" t="str">
        <x:v>D09</x:v>
      </x:c>
      <x:c r="B74" s="7" t="str">
        <x:v>base</x:v>
      </x:c>
      <x:c r="C74" s="7" t="str">
        <x:v>B</x:v>
      </x:c>
      <x:c r="D74" s="7" t="str">
        <x:v>Time an inside diagonal</x:v>
      </x:c>
      <x:c r="E74" s="7" t="str">
        <x:v>acceptable</x:v>
      </x:c>
      <x:c r="F74" s="7" t="str">
        <x:v>Read the original cue: Teammate drives inside and occupies your lane.</x:v>
      </x:c>
      <x:c r="G74" s="7" t="str">
        <x:v>Illustrative endpoint for this option; no guaranteed goal, turnover or calibrated travel time.</x:v>
      </x:c>
      <x:c r="H74" s="7" t="str">
        <x:v>Separate to provide another lane.</x:v>
      </x:c>
      <x:c r="I74" s="7" t="str">
        <x:v>MSA03</x:v>
      </x:c>
      <x:c r="J74" s="8" t="str"/>
    </x:row>
    <x:row r="75" ht="116" customHeight="1">
      <x:c r="A75" s="7" t="str">
        <x:v>D09</x:v>
      </x:c>
      <x:c r="B75" s="7" t="str">
        <x:v>base</x:v>
      </x:c>
      <x:c r="C75" s="7" t="str">
        <x:v>C</x:v>
      </x:c>
      <x:c r="D75" s="7" t="str">
        <x:v>Make the identical run.</x:v>
      </x:c>
      <x:c r="E75" s="7" t="str">
        <x:v>misread</x:v>
      </x:c>
      <x:c r="F75" s="7" t="str">
        <x:v>This risks losing the relationship we are trying to preserve: Make the identical run.</x:v>
      </x:c>
      <x:c r="G75" s="7" t="str">
        <x:v>Review pause only; no speculative failure animation.</x:v>
      </x:c>
      <x:c r="H75" s="7" t="str">
        <x:v>Separate to provide another lane.</x:v>
      </x:c>
      <x:c r="I75" s="7" t="str">
        <x:v>MSA03</x:v>
      </x:c>
      <x:c r="J75" s="8" t="str"/>
    </x:row>
    <x:row r="76" ht="116" customHeight="1">
      <x:c r="A76" s="7" t="str">
        <x:v>D09</x:v>
      </x:c>
      <x:c r="B76" s="7" t="str">
        <x:v>base</x:v>
      </x:c>
      <x:c r="C76" s="7" t="str">
        <x:v>D</x:v>
      </x:c>
      <x:c r="D76" s="7" t="str">
        <x:v>Pause, scan and communicate before committing</x:v>
      </x:c>
      <x:c r="E76" s="7" t="str">
        <x:v>acceptable</x:v>
      </x:c>
      <x:c r="F76" s="7" t="str">
        <x:v>Scanning is useful, but reassess before the opportunity disappears.</x:v>
      </x:c>
      <x:c r="G76" s="7" t="str">
        <x:v>Review pause only; no speculative failure animation.</x:v>
      </x:c>
      <x:c r="H76" s="7" t="str">
        <x:v>Separate to provide another lane.</x:v>
      </x:c>
      <x:c r="I76" s="7" t="str">
        <x:v>MSA03</x:v>
      </x:c>
      <x:c r="J76" s="8" t="str"/>
    </x:row>
    <x:row r="77" ht="116" customHeight="1">
      <x:c r="A77" s="7" t="str">
        <x:v>D09</x:v>
      </x:c>
      <x:c r="B77" s="7" t="str">
        <x:v>changed</x:v>
      </x:c>
      <x:c r="C77" s="7" t="str">
        <x:v>A</x:v>
      </x:c>
      <x:c r="D77" s="7" t="str">
        <x:v>Separate toward the touchline</x:v>
      </x:c>
      <x:c r="E77" s="7" t="str">
        <x:v>acceptable</x:v>
      </x:c>
      <x:c r="F77" s="7" t="str">
        <x:v>Read the changed cue: The carrier stays wide and the defender follows; an inside lane is now available.</x:v>
      </x:c>
      <x:c r="G77" s="7" t="str">
        <x:v>Illustrative endpoint for this option; no guaranteed goal, turnover or calibrated travel time.</x:v>
      </x:c>
      <x:c r="H77" s="7" t="str">
        <x:v>Time a diagonal when space opens.</x:v>
      </x:c>
      <x:c r="I77" s="7" t="str">
        <x:v>MSA03</x:v>
      </x:c>
      <x:c r="J77" s="8" t="str"/>
    </x:row>
    <x:row r="78" ht="116" customHeight="1">
      <x:c r="A78" s="7" t="str">
        <x:v>D09</x:v>
      </x:c>
      <x:c r="B78" s="7" t="str">
        <x:v>changed</x:v>
      </x:c>
      <x:c r="C78" s="7" t="str">
        <x:v>B</x:v>
      </x:c>
      <x:c r="D78" s="7" t="str">
        <x:v>Time an inside diagonal</x:v>
      </x:c>
      <x:c r="E78" s="7" t="str">
        <x:v>preferred</x:v>
      </x:c>
      <x:c r="F78" s="7" t="str">
        <x:v>Read the changed cue: The carrier stays wide and the defender follows; an inside lane is now available.</x:v>
      </x:c>
      <x:c r="G78" s="7" t="str">
        <x:v>Illustrative endpoint for this option; no guaranteed goal, turnover or calibrated travel time.</x:v>
      </x:c>
      <x:c r="H78" s="7" t="str">
        <x:v>Time a diagonal when space opens.</x:v>
      </x:c>
      <x:c r="I78" s="7" t="str">
        <x:v>MSA03</x:v>
      </x:c>
      <x:c r="J78" s="8" t="str"/>
    </x:row>
    <x:row r="79" ht="116" customHeight="1">
      <x:c r="A79" s="7" t="str">
        <x:v>D09</x:v>
      </x:c>
      <x:c r="B79" s="7" t="str">
        <x:v>changed</x:v>
      </x:c>
      <x:c r="C79" s="7" t="str">
        <x:v>C</x:v>
      </x:c>
      <x:c r="D79" s="7" t="str">
        <x:v>Make the identical run.</x:v>
      </x:c>
      <x:c r="E79" s="7" t="str">
        <x:v>misread</x:v>
      </x:c>
      <x:c r="F79" s="7" t="str">
        <x:v>This risks losing the relationship we are trying to preserve: Make the identical run.</x:v>
      </x:c>
      <x:c r="G79" s="7" t="str">
        <x:v>Review pause only; no speculative failure animation.</x:v>
      </x:c>
      <x:c r="H79" s="7" t="str">
        <x:v>Time a diagonal when space opens.</x:v>
      </x:c>
      <x:c r="I79" s="7" t="str">
        <x:v>MSA03</x:v>
      </x:c>
      <x:c r="J79" s="8" t="str"/>
    </x:row>
    <x:row r="80" ht="116" customHeight="1">
      <x:c r="A80" s="7" t="str">
        <x:v>D09</x:v>
      </x:c>
      <x:c r="B80" s="7" t="str">
        <x:v>changed</x:v>
      </x:c>
      <x:c r="C80" s="7" t="str">
        <x:v>D</x:v>
      </x:c>
      <x:c r="D80" s="7" t="str">
        <x:v>Pause, scan and communicate before committing</x:v>
      </x:c>
      <x:c r="E80" s="7" t="str">
        <x:v>acceptable</x:v>
      </x:c>
      <x:c r="F80" s="7" t="str">
        <x:v>Scanning is useful, but reassess before the opportunity disappears.</x:v>
      </x:c>
      <x:c r="G80" s="7" t="str">
        <x:v>Review pause only; no speculative failure animation.</x:v>
      </x:c>
      <x:c r="H80" s="7" t="str">
        <x:v>Time a diagonal when space opens.</x:v>
      </x:c>
      <x:c r="I80" s="7" t="str">
        <x:v>MSA03</x:v>
      </x:c>
      <x:c r="J80" s="8" t="str"/>
    </x:row>
    <x:row r="81" ht="116" customHeight="1">
      <x:c r="A81" s="7" t="str">
        <x:v>D10</x:v>
      </x:c>
      <x:c r="B81" s="7" t="str">
        <x:v>base</x:v>
      </x:c>
      <x:c r="C81" s="7" t="str">
        <x:v>A</x:v>
      </x:c>
      <x:c r="D81" s="7" t="str">
        <x:v>Switch to RW</x:v>
      </x:c>
      <x:c r="E81" s="7" t="str">
        <x:v>preferred</x:v>
      </x:c>
      <x:c r="F81" s="7" t="str">
        <x:v>Read the original cue: Opponent has shifted toward the ball.</x:v>
      </x:c>
      <x:c r="G81" s="7" t="str">
        <x:v>Illustrative endpoint for this option; no guaranteed goal, turnover or calibrated travel time.</x:v>
      </x:c>
      <x:c r="H81" s="7" t="str">
        <x:v>Switch through the clear route.</x:v>
      </x:c>
      <x:c r="I81" s="7" t="str">
        <x:v>MSA04</x:v>
      </x:c>
      <x:c r="J81" s="8" t="str"/>
    </x:row>
    <x:row r="82" ht="116" customHeight="1">
      <x:c r="A82" s="7" t="str">
        <x:v>D10</x:v>
      </x:c>
      <x:c r="B82" s="7" t="str">
        <x:v>base</x:v>
      </x:c>
      <x:c r="C82" s="7" t="str">
        <x:v>B</x:v>
      </x:c>
      <x:c r="D82" s="7" t="str">
        <x:v>Recycle through DM</x:v>
      </x:c>
      <x:c r="E82" s="7" t="str">
        <x:v>acceptable</x:v>
      </x:c>
      <x:c r="F82" s="7" t="str">
        <x:v>Read the original cue: Opponent has shifted toward the ball.</x:v>
      </x:c>
      <x:c r="G82" s="7" t="str">
        <x:v>Illustrative endpoint for this option; no guaranteed goal, turnover or calibrated travel time.</x:v>
      </x:c>
      <x:c r="H82" s="7" t="str">
        <x:v>Switch through the clear route.</x:v>
      </x:c>
      <x:c r="I82" s="7" t="str">
        <x:v>MSA04</x:v>
      </x:c>
      <x:c r="J82" s="8" t="str"/>
    </x:row>
    <x:row r="83" ht="116" customHeight="1">
      <x:c r="A83" s="7" t="str">
        <x:v>D10</x:v>
      </x:c>
      <x:c r="B83" s="7" t="str">
        <x:v>base</x:v>
      </x:c>
      <x:c r="C83" s="7" t="str">
        <x:v>C</x:v>
      </x:c>
      <x:c r="D83" s="7" t="str">
        <x:v>Switch blindly through pressure.</x:v>
      </x:c>
      <x:c r="E83" s="7" t="str">
        <x:v>misread</x:v>
      </x:c>
      <x:c r="F83" s="7" t="str">
        <x:v>This risks losing the relationship we are trying to preserve: Switch blindly through pressure.</x:v>
      </x:c>
      <x:c r="G83" s="7" t="str">
        <x:v>Review pause only; no speculative failure animation.</x:v>
      </x:c>
      <x:c r="H83" s="7" t="str">
        <x:v>Switch through the clear route.</x:v>
      </x:c>
      <x:c r="I83" s="7" t="str">
        <x:v>MSA04</x:v>
      </x:c>
      <x:c r="J83" s="8" t="str"/>
    </x:row>
    <x:row r="84" ht="116" customHeight="1">
      <x:c r="A84" s="7" t="str">
        <x:v>D10</x:v>
      </x:c>
      <x:c r="B84" s="7" t="str">
        <x:v>base</x:v>
      </x:c>
      <x:c r="C84" s="7" t="str">
        <x:v>D</x:v>
      </x:c>
      <x:c r="D84" s="7" t="str">
        <x:v>Pause, scan and communicate before committing</x:v>
      </x:c>
      <x:c r="E84" s="7" t="str">
        <x:v>acceptable</x:v>
      </x:c>
      <x:c r="F84" s="7" t="str">
        <x:v>Scanning is useful, but reassess before the opportunity disappears.</x:v>
      </x:c>
      <x:c r="G84" s="7" t="str">
        <x:v>Review pause only; no speculative failure animation.</x:v>
      </x:c>
      <x:c r="H84" s="7" t="str">
        <x:v>Switch through the clear route.</x:v>
      </x:c>
      <x:c r="I84" s="7" t="str">
        <x:v>MSA04</x:v>
      </x:c>
      <x:c r="J84" s="8" t="str"/>
    </x:row>
    <x:row r="85" ht="116" customHeight="1">
      <x:c r="A85" s="7" t="str">
        <x:v>D10</x:v>
      </x:c>
      <x:c r="B85" s="7" t="str">
        <x:v>changed</x:v>
      </x:c>
      <x:c r="C85" s="7" t="str">
        <x:v>A</x:v>
      </x:c>
      <x:c r="D85" s="7" t="str">
        <x:v>Switch to RW</x:v>
      </x:c>
      <x:c r="E85" s="7" t="str">
        <x:v>misread</x:v>
      </x:c>
      <x:c r="F85" s="7" t="str">
        <x:v>This action is not supported by the current cue. The far-side passing route is now occupied; retain and reorganize instead.</x:v>
      </x:c>
      <x:c r="G85" s="7" t="str">
        <x:v>Freeze for explanation; do not illustrate a successful outcome for an unavailable action.</x:v>
      </x:c>
      <x:c r="H85" s="7" t="str">
        <x:v>Recycle if the route closes.</x:v>
      </x:c>
      <x:c r="I85" s="7" t="str">
        <x:v>MSA04</x:v>
      </x:c>
      <x:c r="J85" s="8" t="str"/>
    </x:row>
    <x:row r="86" ht="116" customHeight="1">
      <x:c r="A86" s="7" t="str">
        <x:v>D10</x:v>
      </x:c>
      <x:c r="B86" s="7" t="str">
        <x:v>changed</x:v>
      </x:c>
      <x:c r="C86" s="7" t="str">
        <x:v>B</x:v>
      </x:c>
      <x:c r="D86" s="7" t="str">
        <x:v>Recycle through DM</x:v>
      </x:c>
      <x:c r="E86" s="7" t="str">
        <x:v>preferred</x:v>
      </x:c>
      <x:c r="F86" s="7" t="str">
        <x:v>Read the changed cue: The far-side passing route is now occupied; retain and reorganize instead.</x:v>
      </x:c>
      <x:c r="G86" s="7" t="str">
        <x:v>Illustrative endpoint for this option; no guaranteed goal, turnover or calibrated travel time.</x:v>
      </x:c>
      <x:c r="H86" s="7" t="str">
        <x:v>Recycle if the route closes.</x:v>
      </x:c>
      <x:c r="I86" s="7" t="str">
        <x:v>MSA04</x:v>
      </x:c>
      <x:c r="J86" s="8" t="str"/>
    </x:row>
    <x:row r="87" ht="116" customHeight="1">
      <x:c r="A87" s="7" t="str">
        <x:v>D10</x:v>
      </x:c>
      <x:c r="B87" s="7" t="str">
        <x:v>changed</x:v>
      </x:c>
      <x:c r="C87" s="7" t="str">
        <x:v>C</x:v>
      </x:c>
      <x:c r="D87" s="7" t="str">
        <x:v>Switch blindly through pressure.</x:v>
      </x:c>
      <x:c r="E87" s="7" t="str">
        <x:v>misread</x:v>
      </x:c>
      <x:c r="F87" s="7" t="str">
        <x:v>This risks losing the relationship we are trying to preserve: Switch blindly through pressure.</x:v>
      </x:c>
      <x:c r="G87" s="7" t="str">
        <x:v>Review pause only; no speculative failure animation.</x:v>
      </x:c>
      <x:c r="H87" s="7" t="str">
        <x:v>Recycle if the route closes.</x:v>
      </x:c>
      <x:c r="I87" s="7" t="str">
        <x:v>MSA04</x:v>
      </x:c>
      <x:c r="J87" s="8" t="str"/>
    </x:row>
    <x:row r="88" ht="116" customHeight="1">
      <x:c r="A88" s="7" t="str">
        <x:v>D10</x:v>
      </x:c>
      <x:c r="B88" s="7" t="str">
        <x:v>changed</x:v>
      </x:c>
      <x:c r="C88" s="7" t="str">
        <x:v>D</x:v>
      </x:c>
      <x:c r="D88" s="7" t="str">
        <x:v>Pause, scan and communicate before committing</x:v>
      </x:c>
      <x:c r="E88" s="7" t="str">
        <x:v>acceptable</x:v>
      </x:c>
      <x:c r="F88" s="7" t="str">
        <x:v>Scanning is useful, but reassess before the opportunity disappears.</x:v>
      </x:c>
      <x:c r="G88" s="7" t="str">
        <x:v>Review pause only; no speculative failure animation.</x:v>
      </x:c>
      <x:c r="H88" s="7" t="str">
        <x:v>Recycle if the route closes.</x:v>
      </x:c>
      <x:c r="I88" s="7" t="str">
        <x:v>MSA04</x:v>
      </x:c>
      <x:c r="J88" s="8" t="str"/>
    </x:row>
    <x:row r="89" ht="116" customHeight="1">
      <x:c r="A89" s="7" t="str">
        <x:v>D11</x:v>
      </x:c>
      <x:c r="B89" s="7" t="str">
        <x:v>base</x:v>
      </x:c>
      <x:c r="C89" s="7" t="str">
        <x:v>A</x:v>
      </x:c>
      <x:c r="D89" s="7" t="str">
        <x:v>Advance into the right channel</x:v>
      </x:c>
      <x:c r="E89" s="7" t="str">
        <x:v>preferred</x:v>
      </x:c>
      <x:c r="F89" s="7" t="str">
        <x:v>Read the original cue: Switch arrives; defender has not recovered.</x:v>
      </x:c>
      <x:c r="G89" s="7" t="str">
        <x:v>Illustrative endpoint for this option; no guaranteed goal, turnover or calibrated travel time.</x:v>
      </x:c>
      <x:c r="H89" s="7" t="str">
        <x:v>Attack the available forward space.</x:v>
      </x:c>
      <x:c r="I89" s="7" t="str">
        <x:v>MSA04</x:v>
      </x:c>
      <x:c r="J89" s="8" t="str"/>
    </x:row>
    <x:row r="90" ht="116" customHeight="1">
      <x:c r="A90" s="7" t="str">
        <x:v>D11</x:v>
      </x:c>
      <x:c r="B90" s="7" t="str">
        <x:v>base</x:v>
      </x:c>
      <x:c r="C90" s="7" t="str">
        <x:v>B</x:v>
      </x:c>
      <x:c r="D90" s="7" t="str">
        <x:v>Combine underneath with CM</x:v>
      </x:c>
      <x:c r="E90" s="7" t="str">
        <x:v>acceptable</x:v>
      </x:c>
      <x:c r="F90" s="7" t="str">
        <x:v>Read the original cue: Switch arrives; defender has not recovered.</x:v>
      </x:c>
      <x:c r="G90" s="7" t="str">
        <x:v>Illustrative endpoint for this option; no guaranteed goal, turnover or calibrated travel time.</x:v>
      </x:c>
      <x:c r="H90" s="7" t="str">
        <x:v>Attack the available forward space.</x:v>
      </x:c>
      <x:c r="I90" s="7" t="str">
        <x:v>MSA04</x:v>
      </x:c>
      <x:c r="J90" s="8" t="str"/>
    </x:row>
    <x:row r="91" ht="116" customHeight="1">
      <x:c r="A91" s="7" t="str">
        <x:v>D11</x:v>
      </x:c>
      <x:c r="B91" s="7" t="str">
        <x:v>base</x:v>
      </x:c>
      <x:c r="C91" s="7" t="str">
        <x:v>C</x:v>
      </x:c>
      <x:c r="D91" s="7" t="str">
        <x:v>Wait until support is marked.</x:v>
      </x:c>
      <x:c r="E91" s="7" t="str">
        <x:v>misread</x:v>
      </x:c>
      <x:c r="F91" s="7" t="str">
        <x:v>This risks losing the relationship we are trying to preserve: Wait until support is marked.</x:v>
      </x:c>
      <x:c r="G91" s="7" t="str">
        <x:v>Review pause only; no speculative failure animation.</x:v>
      </x:c>
      <x:c r="H91" s="7" t="str">
        <x:v>Attack the available forward space.</x:v>
      </x:c>
      <x:c r="I91" s="7" t="str">
        <x:v>MSA04</x:v>
      </x:c>
      <x:c r="J91" s="8" t="str"/>
    </x:row>
    <x:row r="92" ht="116" customHeight="1">
      <x:c r="A92" s="7" t="str">
        <x:v>D11</x:v>
      </x:c>
      <x:c r="B92" s="7" t="str">
        <x:v>base</x:v>
      </x:c>
      <x:c r="C92" s="7" t="str">
        <x:v>D</x:v>
      </x:c>
      <x:c r="D92" s="7" t="str">
        <x:v>Pause, scan and communicate before committing</x:v>
      </x:c>
      <x:c r="E92" s="7" t="str">
        <x:v>acceptable</x:v>
      </x:c>
      <x:c r="F92" s="7" t="str">
        <x:v>Scanning is useful, but reassess before the opportunity disappears.</x:v>
      </x:c>
      <x:c r="G92" s="7" t="str">
        <x:v>Review pause only; no speculative failure animation.</x:v>
      </x:c>
      <x:c r="H92" s="7" t="str">
        <x:v>Attack the available forward space.</x:v>
      </x:c>
      <x:c r="I92" s="7" t="str">
        <x:v>MSA04</x:v>
      </x:c>
      <x:c r="J92" s="8" t="str"/>
    </x:row>
    <x:row r="93" ht="116" customHeight="1">
      <x:c r="A93" s="7" t="str">
        <x:v>D11</x:v>
      </x:c>
      <x:c r="B93" s="7" t="str">
        <x:v>changed</x:v>
      </x:c>
      <x:c r="C93" s="7" t="str">
        <x:v>A</x:v>
      </x:c>
      <x:c r="D93" s="7" t="str">
        <x:v>Advance into the right channel</x:v>
      </x:c>
      <x:c r="E93" s="7" t="str">
        <x:v>misread</x:v>
      </x:c>
      <x:c r="F93" s="7" t="str">
        <x:v>This action is not supported by the current cue. The defender has arrived in front of you; CM remains available underneath.</x:v>
      </x:c>
      <x:c r="G93" s="7" t="str">
        <x:v>Freeze for explanation; do not illustrate a successful outcome for an unavailable action.</x:v>
      </x:c>
      <x:c r="H93" s="7" t="str">
        <x:v>Combine if defender arrives set.</x:v>
      </x:c>
      <x:c r="I93" s="7" t="str">
        <x:v>MSA04</x:v>
      </x:c>
      <x:c r="J93" s="8" t="str"/>
    </x:row>
    <x:row r="94" ht="116" customHeight="1">
      <x:c r="A94" s="7" t="str">
        <x:v>D11</x:v>
      </x:c>
      <x:c r="B94" s="7" t="str">
        <x:v>changed</x:v>
      </x:c>
      <x:c r="C94" s="7" t="str">
        <x:v>B</x:v>
      </x:c>
      <x:c r="D94" s="7" t="str">
        <x:v>Combine underneath with CM</x:v>
      </x:c>
      <x:c r="E94" s="7" t="str">
        <x:v>preferred</x:v>
      </x:c>
      <x:c r="F94" s="7" t="str">
        <x:v>Read the changed cue: The defender has arrived in front of you; CM remains available underneath.</x:v>
      </x:c>
      <x:c r="G94" s="7" t="str">
        <x:v>Illustrative endpoint for this option; no guaranteed goal, turnover or calibrated travel time.</x:v>
      </x:c>
      <x:c r="H94" s="7" t="str">
        <x:v>Combine if defender arrives set.</x:v>
      </x:c>
      <x:c r="I94" s="7" t="str">
        <x:v>MSA04</x:v>
      </x:c>
      <x:c r="J94" s="8" t="str"/>
    </x:row>
    <x:row r="95" ht="116" customHeight="1">
      <x:c r="A95" s="7" t="str">
        <x:v>D11</x:v>
      </x:c>
      <x:c r="B95" s="7" t="str">
        <x:v>changed</x:v>
      </x:c>
      <x:c r="C95" s="7" t="str">
        <x:v>C</x:v>
      </x:c>
      <x:c r="D95" s="7" t="str">
        <x:v>Wait until support is marked.</x:v>
      </x:c>
      <x:c r="E95" s="7" t="str">
        <x:v>misread</x:v>
      </x:c>
      <x:c r="F95" s="7" t="str">
        <x:v>This risks losing the relationship we are trying to preserve: Wait until support is marked.</x:v>
      </x:c>
      <x:c r="G95" s="7" t="str">
        <x:v>Review pause only; no speculative failure animation.</x:v>
      </x:c>
      <x:c r="H95" s="7" t="str">
        <x:v>Combine if defender arrives set.</x:v>
      </x:c>
      <x:c r="I95" s="7" t="str">
        <x:v>MSA04</x:v>
      </x:c>
      <x:c r="J95" s="8" t="str"/>
    </x:row>
    <x:row r="96" ht="116" customHeight="1">
      <x:c r="A96" s="7" t="str">
        <x:v>D11</x:v>
      </x:c>
      <x:c r="B96" s="7" t="str">
        <x:v>changed</x:v>
      </x:c>
      <x:c r="C96" s="7" t="str">
        <x:v>D</x:v>
      </x:c>
      <x:c r="D96" s="7" t="str">
        <x:v>Pause, scan and communicate before committing</x:v>
      </x:c>
      <x:c r="E96" s="7" t="str">
        <x:v>acceptable</x:v>
      </x:c>
      <x:c r="F96" s="7" t="str">
        <x:v>Scanning is useful, but reassess before the opportunity disappears.</x:v>
      </x:c>
      <x:c r="G96" s="7" t="str">
        <x:v>Review pause only; no speculative failure animation.</x:v>
      </x:c>
      <x:c r="H96" s="7" t="str">
        <x:v>Combine if defender arrives set.</x:v>
      </x:c>
      <x:c r="I96" s="7" t="str">
        <x:v>MSA04</x:v>
      </x:c>
      <x:c r="J96" s="8" t="str"/>
    </x:row>
    <x:row r="97" ht="116" customHeight="1">
      <x:c r="A97" s="7" t="str">
        <x:v>D12</x:v>
      </x:c>
      <x:c r="B97" s="7" t="str">
        <x:v>base</x:v>
      </x:c>
      <x:c r="C97" s="7" t="str">
        <x:v>A</x:v>
      </x:c>
      <x:c r="D97" s="7" t="str">
        <x:v>Time a diagonal toward goal</x:v>
      </x:c>
      <x:c r="E97" s="7" t="str">
        <x:v>preferred</x:v>
      </x:c>
      <x:c r="F97" s="7" t="str">
        <x:v>Read the original cue: Opposite winger receives; central defender tracks striker.</x:v>
      </x:c>
      <x:c r="G97" s="7" t="str">
        <x:v>Illustrative endpoint for this option; no guaranteed goal, turnover or calibrated travel time.</x:v>
      </x:c>
      <x:c r="H97" s="7" t="str">
        <x:v>Time a diagonal behind, staying onside.</x:v>
      </x:c>
      <x:c r="I97" s="7" t="str">
        <x:v>MSA04</x:v>
      </x:c>
      <x:c r="J97" s="8" t="str"/>
    </x:row>
    <x:row r="98" ht="116" customHeight="1">
      <x:c r="A98" s="7" t="str">
        <x:v>D12</x:v>
      </x:c>
      <x:c r="B98" s="7" t="str">
        <x:v>base</x:v>
      </x:c>
      <x:c r="C98" s="7" t="str">
        <x:v>B</x:v>
      </x:c>
      <x:c r="D98" s="7" t="str">
        <x:v>Hold useful width</x:v>
      </x:c>
      <x:c r="E98" s="7" t="str">
        <x:v>acceptable</x:v>
      </x:c>
      <x:c r="F98" s="7" t="str">
        <x:v>Read the original cue: Opposite winger receives; central defender tracks striker.</x:v>
      </x:c>
      <x:c r="G98" s="7" t="str">
        <x:v>Illustrative endpoint for this option; no guaranteed goal, turnover or calibrated travel time.</x:v>
      </x:c>
      <x:c r="H98" s="7" t="str">
        <x:v>Time a diagonal behind, staying onside.</x:v>
      </x:c>
      <x:c r="I98" s="7" t="str">
        <x:v>MSA04</x:v>
      </x:c>
      <x:c r="J98" s="8" t="str"/>
    </x:row>
    <x:row r="99" ht="116" customHeight="1">
      <x:c r="A99" s="7" t="str">
        <x:v>D12</x:v>
      </x:c>
      <x:c r="B99" s="7" t="str">
        <x:v>base</x:v>
      </x:c>
      <x:c r="C99" s="7" t="str">
        <x:v>C</x:v>
      </x:c>
      <x:c r="D99" s="7" t="str">
        <x:v>Run early into offside position.</x:v>
      </x:c>
      <x:c r="E99" s="7" t="str">
        <x:v>misread</x:v>
      </x:c>
      <x:c r="F99" s="7" t="str">
        <x:v>This risks losing the relationship we are trying to preserve: Run early into offside position.</x:v>
      </x:c>
      <x:c r="G99" s="7" t="str">
        <x:v>Review pause only; no speculative failure animation.</x:v>
      </x:c>
      <x:c r="H99" s="7" t="str">
        <x:v>Time a diagonal behind, staying onside.</x:v>
      </x:c>
      <x:c r="I99" s="7" t="str">
        <x:v>MSA04</x:v>
      </x:c>
      <x:c r="J99" s="8" t="str"/>
    </x:row>
    <x:row r="100" ht="116" customHeight="1">
      <x:c r="A100" s="7" t="str">
        <x:v>D12</x:v>
      </x:c>
      <x:c r="B100" s="7" t="str">
        <x:v>base</x:v>
      </x:c>
      <x:c r="C100" s="7" t="str">
        <x:v>D</x:v>
      </x:c>
      <x:c r="D100" s="7" t="str">
        <x:v>Pause, scan and communicate before committing</x:v>
      </x:c>
      <x:c r="E100" s="7" t="str">
        <x:v>acceptable</x:v>
      </x:c>
      <x:c r="F100" s="7" t="str">
        <x:v>Scanning is useful, but reassess before the opportunity disappears.</x:v>
      </x:c>
      <x:c r="G100" s="7" t="str">
        <x:v>Review pause only; no speculative failure animation.</x:v>
      </x:c>
      <x:c r="H100" s="7" t="str">
        <x:v>Time a diagonal behind, staying onside.</x:v>
      </x:c>
      <x:c r="I100" s="7" t="str">
        <x:v>MSA04</x:v>
      </x:c>
      <x:c r="J100" s="8" t="str"/>
    </x:row>
    <x:row r="101" ht="116" customHeight="1">
      <x:c r="A101" s="7" t="str">
        <x:v>D12</x:v>
      </x:c>
      <x:c r="B101" s="7" t="str">
        <x:v>changed</x:v>
      </x:c>
      <x:c r="C101" s="7" t="str">
        <x:v>A</x:v>
      </x:c>
      <x:c r="D101" s="7" t="str">
        <x:v>Time a diagonal toward goal</x:v>
      </x:c>
      <x:c r="E101" s="7" t="str">
        <x:v>acceptable</x:v>
      </x:c>
      <x:c r="F101" s="7" t="str">
        <x:v>Read the changed cue: The diagonal is covered; maintain another passing lane instead of running into the marker.</x:v>
      </x:c>
      <x:c r="G101" s="7" t="str">
        <x:v>Illustrative endpoint for this option; no guaranteed goal, turnover or calibrated travel time.</x:v>
      </x:c>
      <x:c r="H101" s="7" t="str">
        <x:v>Hold width if diagonal is blocked.</x:v>
      </x:c>
      <x:c r="I101" s="7" t="str">
        <x:v>MSA04</x:v>
      </x:c>
      <x:c r="J101" s="8" t="str"/>
    </x:row>
    <x:row r="102" ht="116" customHeight="1">
      <x:c r="A102" s="7" t="str">
        <x:v>D12</x:v>
      </x:c>
      <x:c r="B102" s="7" t="str">
        <x:v>changed</x:v>
      </x:c>
      <x:c r="C102" s="7" t="str">
        <x:v>B</x:v>
      </x:c>
      <x:c r="D102" s="7" t="str">
        <x:v>Hold useful width</x:v>
      </x:c>
      <x:c r="E102" s="7" t="str">
        <x:v>preferred</x:v>
      </x:c>
      <x:c r="F102" s="7" t="str">
        <x:v>Read the changed cue: The diagonal is covered; maintain another passing lane instead of running into the marker.</x:v>
      </x:c>
      <x:c r="G102" s="7" t="str">
        <x:v>Illustrative endpoint for this option; no guaranteed goal, turnover or calibrated travel time.</x:v>
      </x:c>
      <x:c r="H102" s="7" t="str">
        <x:v>Hold width if diagonal is blocked.</x:v>
      </x:c>
      <x:c r="I102" s="7" t="str">
        <x:v>MSA04</x:v>
      </x:c>
      <x:c r="J102" s="8" t="str"/>
    </x:row>
    <x:row r="103" ht="116" customHeight="1">
      <x:c r="A103" s="7" t="str">
        <x:v>D12</x:v>
      </x:c>
      <x:c r="B103" s="7" t="str">
        <x:v>changed</x:v>
      </x:c>
      <x:c r="C103" s="7" t="str">
        <x:v>C</x:v>
      </x:c>
      <x:c r="D103" s="7" t="str">
        <x:v>Run early into offside position.</x:v>
      </x:c>
      <x:c r="E103" s="7" t="str">
        <x:v>misread</x:v>
      </x:c>
      <x:c r="F103" s="7" t="str">
        <x:v>This risks losing the relationship we are trying to preserve: Run early into offside position.</x:v>
      </x:c>
      <x:c r="G103" s="7" t="str">
        <x:v>Review pause only; no speculative failure animation.</x:v>
      </x:c>
      <x:c r="H103" s="7" t="str">
        <x:v>Hold width if diagonal is blocked.</x:v>
      </x:c>
      <x:c r="I103" s="7" t="str">
        <x:v>MSA04</x:v>
      </x:c>
      <x:c r="J103" s="8" t="str"/>
    </x:row>
    <x:row r="104" ht="116" customHeight="1">
      <x:c r="A104" s="7" t="str">
        <x:v>D12</x:v>
      </x:c>
      <x:c r="B104" s="7" t="str">
        <x:v>changed</x:v>
      </x:c>
      <x:c r="C104" s="7" t="str">
        <x:v>D</x:v>
      </x:c>
      <x:c r="D104" s="7" t="str">
        <x:v>Pause, scan and communicate before committing</x:v>
      </x:c>
      <x:c r="E104" s="7" t="str">
        <x:v>acceptable</x:v>
      </x:c>
      <x:c r="F104" s="7" t="str">
        <x:v>Scanning is useful, but reassess before the opportunity disappears.</x:v>
      </x:c>
      <x:c r="G104" s="7" t="str">
        <x:v>Review pause only; no speculative failure animation.</x:v>
      </x:c>
      <x:c r="H104" s="7" t="str">
        <x:v>Hold width if diagonal is blocked.</x:v>
      </x:c>
      <x:c r="I104" s="7" t="str">
        <x:v>MSA04</x:v>
      </x:c>
      <x:c r="J104" s="8" t="str"/>
    </x:row>
    <x:row r="105" ht="116" customHeight="1">
      <x:c r="A105" s="7" t="str">
        <x:v>D13</x:v>
      </x:c>
      <x:c r="B105" s="7" t="str">
        <x:v>base</x:v>
      </x:c>
      <x:c r="C105" s="7" t="str">
        <x:v>A</x:v>
      </x:c>
      <x:c r="D105" s="7" t="str">
        <x:v>Separate into the forward lane</x:v>
      </x:c>
      <x:c r="E105" s="7" t="str">
        <x:v>preferred</x:v>
      </x:c>
      <x:c r="F105" s="7" t="str">
        <x:v>Read the original cue: Defender steps toward carrier; you are onside.</x:v>
      </x:c>
      <x:c r="G105" s="7" t="str">
        <x:v>Illustrative endpoint for this option; no guaranteed goal, turnover or calibrated travel time.</x:v>
      </x:c>
      <x:c r="H105" s="7" t="str">
        <x:v>Separate into the passing lane.</x:v>
      </x:c>
      <x:c r="I105" s="7" t="str">
        <x:v>MSA05</x:v>
      </x:c>
      <x:c r="J105" s="8" t="str"/>
    </x:row>
    <x:row r="106" ht="116" customHeight="1">
      <x:c r="A106" s="7" t="str">
        <x:v>D13</x:v>
      </x:c>
      <x:c r="B106" s="7" t="str">
        <x:v>base</x:v>
      </x:c>
      <x:c r="C106" s="7" t="str">
        <x:v>B</x:v>
      </x:c>
      <x:c r="D106" s="7" t="str">
        <x:v>Check short for support</x:v>
      </x:c>
      <x:c r="E106" s="7" t="str">
        <x:v>acceptable</x:v>
      </x:c>
      <x:c r="F106" s="7" t="str">
        <x:v>Read the original cue: Defender steps toward carrier; you are onside.</x:v>
      </x:c>
      <x:c r="G106" s="7" t="str">
        <x:v>Illustrative endpoint for this option; no guaranteed goal, turnover or calibrated travel time.</x:v>
      </x:c>
      <x:c r="H106" s="7" t="str">
        <x:v>Separate into the passing lane.</x:v>
      </x:c>
      <x:c r="I106" s="7" t="str">
        <x:v>MSA05</x:v>
      </x:c>
      <x:c r="J106" s="8" t="str"/>
    </x:row>
    <x:row r="107" ht="116" customHeight="1">
      <x:c r="A107" s="7" t="str">
        <x:v>D13</x:v>
      </x:c>
      <x:c r="B107" s="7" t="str">
        <x:v>base</x:v>
      </x:c>
      <x:c r="C107" s="7" t="str">
        <x:v>C</x:v>
      </x:c>
      <x:c r="D107" s="7" t="str">
        <x:v>Run behind the last defender too early.</x:v>
      </x:c>
      <x:c r="E107" s="7" t="str">
        <x:v>misread</x:v>
      </x:c>
      <x:c r="F107" s="7" t="str">
        <x:v>This risks losing the relationship we are trying to preserve: Run behind the last defender too early.</x:v>
      </x:c>
      <x:c r="G107" s="7" t="str">
        <x:v>Review pause only; no speculative failure animation.</x:v>
      </x:c>
      <x:c r="H107" s="7" t="str">
        <x:v>Separate into the passing lane.</x:v>
      </x:c>
      <x:c r="I107" s="7" t="str">
        <x:v>MSA05</x:v>
      </x:c>
      <x:c r="J107" s="8" t="str"/>
    </x:row>
    <x:row r="108" ht="116" customHeight="1">
      <x:c r="A108" s="7" t="str">
        <x:v>D13</x:v>
      </x:c>
      <x:c r="B108" s="7" t="str">
        <x:v>base</x:v>
      </x:c>
      <x:c r="C108" s="7" t="str">
        <x:v>D</x:v>
      </x:c>
      <x:c r="D108" s="7" t="str">
        <x:v>Pause, scan and communicate before committing</x:v>
      </x:c>
      <x:c r="E108" s="7" t="str">
        <x:v>acceptable</x:v>
      </x:c>
      <x:c r="F108" s="7" t="str">
        <x:v>Scanning is useful, but reassess before the opportunity disappears.</x:v>
      </x:c>
      <x:c r="G108" s="7" t="str">
        <x:v>Review pause only; no speculative failure animation.</x:v>
      </x:c>
      <x:c r="H108" s="7" t="str">
        <x:v>Separate into the passing lane.</x:v>
      </x:c>
      <x:c r="I108" s="7" t="str">
        <x:v>MSA05</x:v>
      </x:c>
      <x:c r="J108" s="8" t="str"/>
    </x:row>
    <x:row r="109" ht="116" customHeight="1">
      <x:c r="A109" s="7" t="str">
        <x:v>D13</x:v>
      </x:c>
      <x:c r="B109" s="7" t="str">
        <x:v>changed</x:v>
      </x:c>
      <x:c r="C109" s="7" t="str">
        <x:v>A</x:v>
      </x:c>
      <x:c r="D109" s="7" t="str">
        <x:v>Separate into the forward lane</x:v>
      </x:c>
      <x:c r="E109" s="7" t="str">
        <x:v>acceptable</x:v>
      </x:c>
      <x:c r="F109" s="7" t="str">
        <x:v>Read the changed cue: A recovering defender closes the forward lane; the carrier needs a shorter option.</x:v>
      </x:c>
      <x:c r="G109" s="7" t="str">
        <x:v>Illustrative endpoint for this option; no guaranteed goal, turnover or calibrated travel time.</x:v>
      </x:c>
      <x:c r="H109" s="7" t="str">
        <x:v>Check short if recovery closes it.</x:v>
      </x:c>
      <x:c r="I109" s="7" t="str">
        <x:v>MSA05</x:v>
      </x:c>
      <x:c r="J109" s="8" t="str"/>
    </x:row>
    <x:row r="110" ht="116" customHeight="1">
      <x:c r="A110" s="7" t="str">
        <x:v>D13</x:v>
      </x:c>
      <x:c r="B110" s="7" t="str">
        <x:v>changed</x:v>
      </x:c>
      <x:c r="C110" s="7" t="str">
        <x:v>B</x:v>
      </x:c>
      <x:c r="D110" s="7" t="str">
        <x:v>Check short for support</x:v>
      </x:c>
      <x:c r="E110" s="7" t="str">
        <x:v>preferred</x:v>
      </x:c>
      <x:c r="F110" s="7" t="str">
        <x:v>Read the changed cue: A recovering defender closes the forward lane; the carrier needs a shorter option.</x:v>
      </x:c>
      <x:c r="G110" s="7" t="str">
        <x:v>Illustrative endpoint for this option; no guaranteed goal, turnover or calibrated travel time.</x:v>
      </x:c>
      <x:c r="H110" s="7" t="str">
        <x:v>Check short if recovery closes it.</x:v>
      </x:c>
      <x:c r="I110" s="7" t="str">
        <x:v>MSA05</x:v>
      </x:c>
      <x:c r="J110" s="8" t="str"/>
    </x:row>
    <x:row r="111" ht="116" customHeight="1">
      <x:c r="A111" s="7" t="str">
        <x:v>D13</x:v>
      </x:c>
      <x:c r="B111" s="7" t="str">
        <x:v>changed</x:v>
      </x:c>
      <x:c r="C111" s="7" t="str">
        <x:v>C</x:v>
      </x:c>
      <x:c r="D111" s="7" t="str">
        <x:v>Run behind the last defender too early.</x:v>
      </x:c>
      <x:c r="E111" s="7" t="str">
        <x:v>misread</x:v>
      </x:c>
      <x:c r="F111" s="7" t="str">
        <x:v>This risks losing the relationship we are trying to preserve: Run behind the last defender too early.</x:v>
      </x:c>
      <x:c r="G111" s="7" t="str">
        <x:v>Review pause only; no speculative failure animation.</x:v>
      </x:c>
      <x:c r="H111" s="7" t="str">
        <x:v>Check short if recovery closes it.</x:v>
      </x:c>
      <x:c r="I111" s="7" t="str">
        <x:v>MSA05</x:v>
      </x:c>
      <x:c r="J111" s="8" t="str"/>
    </x:row>
    <x:row r="112" ht="116" customHeight="1">
      <x:c r="A112" s="7" t="str">
        <x:v>D13</x:v>
      </x:c>
      <x:c r="B112" s="7" t="str">
        <x:v>changed</x:v>
      </x:c>
      <x:c r="C112" s="7" t="str">
        <x:v>D</x:v>
      </x:c>
      <x:c r="D112" s="7" t="str">
        <x:v>Pause, scan and communicate before committing</x:v>
      </x:c>
      <x:c r="E112" s="7" t="str">
        <x:v>acceptable</x:v>
      </x:c>
      <x:c r="F112" s="7" t="str">
        <x:v>Scanning is useful, but reassess before the opportunity disappears.</x:v>
      </x:c>
      <x:c r="G112" s="7" t="str">
        <x:v>Review pause only; no speculative failure animation.</x:v>
      </x:c>
      <x:c r="H112" s="7" t="str">
        <x:v>Check short if recovery closes it.</x:v>
      </x:c>
      <x:c r="I112" s="7" t="str">
        <x:v>MSA05</x:v>
      </x:c>
      <x:c r="J112" s="8" t="str"/>
    </x:row>
    <x:row r="113" ht="116" customHeight="1">
      <x:c r="A113" s="7" t="str">
        <x:v>D14</x:v>
      </x:c>
      <x:c r="B113" s="7" t="str">
        <x:v>base</x:v>
      </x:c>
      <x:c r="C113" s="7" t="str">
        <x:v>A</x:v>
      </x:c>
      <x:c r="D113" s="7" t="str">
        <x:v>Carry through the open channel</x:v>
      </x:c>
      <x:c r="E113" s="7" t="str">
        <x:v>preferred</x:v>
      </x:c>
      <x:c r="F113" s="7" t="str">
        <x:v>Read the original cue: One defender blocks pass; dribble route remains open.</x:v>
      </x:c>
      <x:c r="G113" s="7" t="str">
        <x:v>Illustrative endpoint for this option; no guaranteed goal, turnover or calibrated travel time.</x:v>
      </x:c>
      <x:c r="H113" s="7" t="str">
        <x:v>Carry toward goal.</x:v>
      </x:c>
      <x:c r="I113" s="7" t="str">
        <x:v>MSA05</x:v>
      </x:c>
      <x:c r="J113" s="8" t="str"/>
    </x:row>
    <x:row r="114" ht="116" customHeight="1">
      <x:c r="A114" s="7" t="str">
        <x:v>D14</x:v>
      </x:c>
      <x:c r="B114" s="7" t="str">
        <x:v>base</x:v>
      </x:c>
      <x:c r="C114" s="7" t="str">
        <x:v>B</x:v>
      </x:c>
      <x:c r="D114" s="7" t="str">
        <x:v>Release to ST</x:v>
      </x:c>
      <x:c r="E114" s="7" t="str">
        <x:v>acceptable</x:v>
      </x:c>
      <x:c r="F114" s="7" t="str">
        <x:v>Read the original cue: One defender blocks pass; dribble route remains open.</x:v>
      </x:c>
      <x:c r="G114" s="7" t="str">
        <x:v>Illustrative endpoint for this option; no guaranteed goal, turnover or calibrated travel time.</x:v>
      </x:c>
      <x:c r="H114" s="7" t="str">
        <x:v>Carry toward goal.</x:v>
      </x:c>
      <x:c r="I114" s="7" t="str">
        <x:v>MSA05</x:v>
      </x:c>
      <x:c r="J114" s="8" t="str"/>
    </x:row>
    <x:row r="115" ht="116" customHeight="1">
      <x:c r="A115" s="7" t="str">
        <x:v>D14</x:v>
      </x:c>
      <x:c r="B115" s="7" t="str">
        <x:v>base</x:v>
      </x:c>
      <x:c r="C115" s="7" t="str">
        <x:v>C</x:v>
      </x:c>
      <x:c r="D115" s="7" t="str">
        <x:v>Delay until recovery removes advantage.</x:v>
      </x:c>
      <x:c r="E115" s="7" t="str">
        <x:v>misread</x:v>
      </x:c>
      <x:c r="F115" s="7" t="str">
        <x:v>This risks losing the relationship we are trying to preserve: Delay until recovery removes advantage.</x:v>
      </x:c>
      <x:c r="G115" s="7" t="str">
        <x:v>Review pause only; no speculative failure animation.</x:v>
      </x:c>
      <x:c r="H115" s="7" t="str">
        <x:v>Carry toward goal.</x:v>
      </x:c>
      <x:c r="I115" s="7" t="str">
        <x:v>MSA05</x:v>
      </x:c>
      <x:c r="J115" s="8" t="str"/>
    </x:row>
    <x:row r="116" ht="116" customHeight="1">
      <x:c r="A116" s="7" t="str">
        <x:v>D14</x:v>
      </x:c>
      <x:c r="B116" s="7" t="str">
        <x:v>base</x:v>
      </x:c>
      <x:c r="C116" s="7" t="str">
        <x:v>D</x:v>
      </x:c>
      <x:c r="D116" s="7" t="str">
        <x:v>Pause, scan and communicate before committing</x:v>
      </x:c>
      <x:c r="E116" s="7" t="str">
        <x:v>acceptable</x:v>
      </x:c>
      <x:c r="F116" s="7" t="str">
        <x:v>Scanning is useful, but reassess before the opportunity disappears.</x:v>
      </x:c>
      <x:c r="G116" s="7" t="str">
        <x:v>Review pause only; no speculative failure animation.</x:v>
      </x:c>
      <x:c r="H116" s="7" t="str">
        <x:v>Carry toward goal.</x:v>
      </x:c>
      <x:c r="I116" s="7" t="str">
        <x:v>MSA05</x:v>
      </x:c>
      <x:c r="J116" s="8" t="str"/>
    </x:row>
    <x:row r="117" ht="116" customHeight="1">
      <x:c r="A117" s="7" t="str">
        <x:v>D14</x:v>
      </x:c>
      <x:c r="B117" s="7" t="str">
        <x:v>changed</x:v>
      </x:c>
      <x:c r="C117" s="7" t="str">
        <x:v>A</x:v>
      </x:c>
      <x:c r="D117" s="7" t="str">
        <x:v>Carry through the open channel</x:v>
      </x:c>
      <x:c r="E117" s="7" t="str">
        <x:v>misread</x:v>
      </x:c>
      <x:c r="F117" s="7" t="str">
        <x:v>This action is not supported by the current cue. The defender commits to the carrier; the striker is now free to receive.</x:v>
      </x:c>
      <x:c r="G117" s="7" t="str">
        <x:v>Freeze for explanation; do not illustrate a successful outcome for an unavailable action.</x:v>
      </x:c>
      <x:c r="H117" s="7" t="str">
        <x:v>Release when defender leaves teammate.</x:v>
      </x:c>
      <x:c r="I117" s="7" t="str">
        <x:v>MSA05</x:v>
      </x:c>
      <x:c r="J117" s="8" t="str"/>
    </x:row>
    <x:row r="118" ht="116" customHeight="1">
      <x:c r="A118" s="7" t="str">
        <x:v>D14</x:v>
      </x:c>
      <x:c r="B118" s="7" t="str">
        <x:v>changed</x:v>
      </x:c>
      <x:c r="C118" s="7" t="str">
        <x:v>B</x:v>
      </x:c>
      <x:c r="D118" s="7" t="str">
        <x:v>Release to ST</x:v>
      </x:c>
      <x:c r="E118" s="7" t="str">
        <x:v>preferred</x:v>
      </x:c>
      <x:c r="F118" s="7" t="str">
        <x:v>Read the changed cue: The defender commits to the carrier; the striker is now free to receive.</x:v>
      </x:c>
      <x:c r="G118" s="7" t="str">
        <x:v>Illustrative endpoint for this option; no guaranteed goal, turnover or calibrated travel time.</x:v>
      </x:c>
      <x:c r="H118" s="7" t="str">
        <x:v>Release when defender leaves teammate.</x:v>
      </x:c>
      <x:c r="I118" s="7" t="str">
        <x:v>MSA05</x:v>
      </x:c>
      <x:c r="J118" s="8" t="str"/>
    </x:row>
    <x:row r="119" ht="116" customHeight="1">
      <x:c r="A119" s="7" t="str">
        <x:v>D14</x:v>
      </x:c>
      <x:c r="B119" s="7" t="str">
        <x:v>changed</x:v>
      </x:c>
      <x:c r="C119" s="7" t="str">
        <x:v>C</x:v>
      </x:c>
      <x:c r="D119" s="7" t="str">
        <x:v>Delay until recovery removes advantage.</x:v>
      </x:c>
      <x:c r="E119" s="7" t="str">
        <x:v>misread</x:v>
      </x:c>
      <x:c r="F119" s="7" t="str">
        <x:v>This risks losing the relationship we are trying to preserve: Delay until recovery removes advantage.</x:v>
      </x:c>
      <x:c r="G119" s="7" t="str">
        <x:v>Review pause only; no speculative failure animation.</x:v>
      </x:c>
      <x:c r="H119" s="7" t="str">
        <x:v>Release when defender leaves teammate.</x:v>
      </x:c>
      <x:c r="I119" s="7" t="str">
        <x:v>MSA05</x:v>
      </x:c>
      <x:c r="J119" s="8" t="str"/>
    </x:row>
    <x:row r="120" ht="116" customHeight="1">
      <x:c r="A120" s="7" t="str">
        <x:v>D14</x:v>
      </x:c>
      <x:c r="B120" s="7" t="str">
        <x:v>changed</x:v>
      </x:c>
      <x:c r="C120" s="7" t="str">
        <x:v>D</x:v>
      </x:c>
      <x:c r="D120" s="7" t="str">
        <x:v>Pause, scan and communicate before committing</x:v>
      </x:c>
      <x:c r="E120" s="7" t="str">
        <x:v>acceptable</x:v>
      </x:c>
      <x:c r="F120" s="7" t="str">
        <x:v>Scanning is useful, but reassess before the opportunity disappears.</x:v>
      </x:c>
      <x:c r="G120" s="7" t="str">
        <x:v>Review pause only; no speculative failure animation.</x:v>
      </x:c>
      <x:c r="H120" s="7" t="str">
        <x:v>Release when defender leaves teammate.</x:v>
      </x:c>
      <x:c r="I120" s="7" t="str">
        <x:v>MSA05</x:v>
      </x:c>
      <x:c r="J120" s="8" t="str"/>
    </x:row>
    <x:row r="121" ht="116" customHeight="1">
      <x:c r="A121" s="7" t="str">
        <x:v>D15</x:v>
      </x:c>
      <x:c r="B121" s="7" t="str">
        <x:v>base</x:v>
      </x:c>
      <x:c r="C121" s="7" t="str">
        <x:v>A</x:v>
      </x:c>
      <x:c r="D121" s="7" t="str">
        <x:v>Offer a separate far-side lane</x:v>
      </x:c>
      <x:c r="E121" s="7" t="str">
        <x:v>preferred</x:v>
      </x:c>
      <x:c r="F121" s="7" t="str">
        <x:v>Read the original cue: Carrier can shoot; striker attacks near side.</x:v>
      </x:c>
      <x:c r="G121" s="7" t="str">
        <x:v>Illustrative endpoint for this option; no guaranteed goal, turnover or calibrated travel time.</x:v>
      </x:c>
      <x:c r="H121" s="7" t="str">
        <x:v>Offer a distinct far-side/rebound option.</x:v>
      </x:c>
      <x:c r="I121" s="7" t="str">
        <x:v>MSA05</x:v>
      </x:c>
      <x:c r="J121" s="8" t="str"/>
    </x:row>
    <x:row r="122" ht="116" customHeight="1">
      <x:c r="A122" s="7" t="str">
        <x:v>D15</x:v>
      </x:c>
      <x:c r="B122" s="7" t="str">
        <x:v>base</x:v>
      </x:c>
      <x:c r="C122" s="7" t="str">
        <x:v>B</x:v>
      </x:c>
      <x:c r="D122" s="7" t="str">
        <x:v>Hold for the rebound</x:v>
      </x:c>
      <x:c r="E122" s="7" t="str">
        <x:v>acceptable</x:v>
      </x:c>
      <x:c r="F122" s="7" t="str">
        <x:v>Read the original cue: Carrier can shoot; striker attacks near side.</x:v>
      </x:c>
      <x:c r="G122" s="7" t="str">
        <x:v>Illustrative endpoint for this option; no guaranteed goal, turnover or calibrated travel time.</x:v>
      </x:c>
      <x:c r="H122" s="7" t="str">
        <x:v>Offer a distinct far-side/rebound option.</x:v>
      </x:c>
      <x:c r="I122" s="7" t="str">
        <x:v>MSA05</x:v>
      </x:c>
      <x:c r="J122" s="8" t="str"/>
    </x:row>
    <x:row r="123" ht="116" customHeight="1">
      <x:c r="A123" s="7" t="str">
        <x:v>D15</x:v>
      </x:c>
      <x:c r="B123" s="7" t="str">
        <x:v>base</x:v>
      </x:c>
      <x:c r="C123" s="7" t="str">
        <x:v>C</x:v>
      </x:c>
      <x:c r="D123" s="7" t="str">
        <x:v>Crowd the striker’s route.</x:v>
      </x:c>
      <x:c r="E123" s="7" t="str">
        <x:v>misread</x:v>
      </x:c>
      <x:c r="F123" s="7" t="str">
        <x:v>This risks losing the relationship we are trying to preserve: Crowd the striker’s route.</x:v>
      </x:c>
      <x:c r="G123" s="7" t="str">
        <x:v>Review pause only; no speculative failure animation.</x:v>
      </x:c>
      <x:c r="H123" s="7" t="str">
        <x:v>Offer a distinct far-side/rebound option.</x:v>
      </x:c>
      <x:c r="I123" s="7" t="str">
        <x:v>MSA05</x:v>
      </x:c>
      <x:c r="J123" s="8" t="str"/>
    </x:row>
    <x:row r="124" ht="116" customHeight="1">
      <x:c r="A124" s="7" t="str">
        <x:v>D15</x:v>
      </x:c>
      <x:c r="B124" s="7" t="str">
        <x:v>base</x:v>
      </x:c>
      <x:c r="C124" s="7" t="str">
        <x:v>D</x:v>
      </x:c>
      <x:c r="D124" s="7" t="str">
        <x:v>Pause, scan and communicate before committing</x:v>
      </x:c>
      <x:c r="E124" s="7" t="str">
        <x:v>acceptable</x:v>
      </x:c>
      <x:c r="F124" s="7" t="str">
        <x:v>Scanning is useful, but reassess before the opportunity disappears.</x:v>
      </x:c>
      <x:c r="G124" s="7" t="str">
        <x:v>Review pause only; no speculative failure animation.</x:v>
      </x:c>
      <x:c r="H124" s="7" t="str">
        <x:v>Offer a distinct far-side/rebound option.</x:v>
      </x:c>
      <x:c r="I124" s="7" t="str">
        <x:v>MSA05</x:v>
      </x:c>
      <x:c r="J124" s="8" t="str"/>
    </x:row>
    <x:row r="125" ht="116" customHeight="1">
      <x:c r="A125" s="7" t="str">
        <x:v>D15</x:v>
      </x:c>
      <x:c r="B125" s="7" t="str">
        <x:v>changed</x:v>
      </x:c>
      <x:c r="C125" s="7" t="str">
        <x:v>A</x:v>
      </x:c>
      <x:c r="D125" s="7" t="str">
        <x:v>Offer a separate far-side lane</x:v>
      </x:c>
      <x:c r="E125" s="7" t="str">
        <x:v>acceptable</x:v>
      </x:c>
      <x:c r="F125" s="7" t="str">
        <x:v>Read the changed cue: Your proposed run now crosses the shooting lane; do not obstruct the carrier.</x:v>
      </x:c>
      <x:c r="G125" s="7" t="str">
        <x:v>Illustrative endpoint for this option; no guaranteed goal, turnover or calibrated travel time.</x:v>
      </x:c>
      <x:c r="H125" s="7" t="str">
        <x:v>Pause if your route crosses the shot.</x:v>
      </x:c>
      <x:c r="I125" s="7" t="str">
        <x:v>MSA05</x:v>
      </x:c>
      <x:c r="J125" s="8" t="str"/>
    </x:row>
    <x:row r="126" ht="116" customHeight="1">
      <x:c r="A126" s="7" t="str">
        <x:v>D15</x:v>
      </x:c>
      <x:c r="B126" s="7" t="str">
        <x:v>changed</x:v>
      </x:c>
      <x:c r="C126" s="7" t="str">
        <x:v>B</x:v>
      </x:c>
      <x:c r="D126" s="7" t="str">
        <x:v>Hold for the rebound</x:v>
      </x:c>
      <x:c r="E126" s="7" t="str">
        <x:v>preferred</x:v>
      </x:c>
      <x:c r="F126" s="7" t="str">
        <x:v>Read the changed cue: Your proposed run now crosses the shooting lane; do not obstruct the carrier.</x:v>
      </x:c>
      <x:c r="G126" s="7" t="str">
        <x:v>Illustrative endpoint for this option; no guaranteed goal, turnover or calibrated travel time.</x:v>
      </x:c>
      <x:c r="H126" s="7" t="str">
        <x:v>Pause if your route crosses the shot.</x:v>
      </x:c>
      <x:c r="I126" s="7" t="str">
        <x:v>MSA05</x:v>
      </x:c>
      <x:c r="J126" s="8" t="str"/>
    </x:row>
    <x:row r="127" ht="116" customHeight="1">
      <x:c r="A127" s="7" t="str">
        <x:v>D15</x:v>
      </x:c>
      <x:c r="B127" s="7" t="str">
        <x:v>changed</x:v>
      </x:c>
      <x:c r="C127" s="7" t="str">
        <x:v>C</x:v>
      </x:c>
      <x:c r="D127" s="7" t="str">
        <x:v>Crowd the striker’s route.</x:v>
      </x:c>
      <x:c r="E127" s="7" t="str">
        <x:v>misread</x:v>
      </x:c>
      <x:c r="F127" s="7" t="str">
        <x:v>This risks losing the relationship we are trying to preserve: Crowd the striker’s route.</x:v>
      </x:c>
      <x:c r="G127" s="7" t="str">
        <x:v>Review pause only; no speculative failure animation.</x:v>
      </x:c>
      <x:c r="H127" s="7" t="str">
        <x:v>Pause if your route crosses the shot.</x:v>
      </x:c>
      <x:c r="I127" s="7" t="str">
        <x:v>MSA05</x:v>
      </x:c>
      <x:c r="J127" s="8" t="str"/>
    </x:row>
    <x:row r="128" ht="116" customHeight="1">
      <x:c r="A128" s="7" t="str">
        <x:v>D15</x:v>
      </x:c>
      <x:c r="B128" s="7" t="str">
        <x:v>changed</x:v>
      </x:c>
      <x:c r="C128" s="7" t="str">
        <x:v>D</x:v>
      </x:c>
      <x:c r="D128" s="7" t="str">
        <x:v>Pause, scan and communicate before committing</x:v>
      </x:c>
      <x:c r="E128" s="7" t="str">
        <x:v>acceptable</x:v>
      </x:c>
      <x:c r="F128" s="7" t="str">
        <x:v>Scanning is useful, but reassess before the opportunity disappears.</x:v>
      </x:c>
      <x:c r="G128" s="7" t="str">
        <x:v>Review pause only; no speculative failure animation.</x:v>
      </x:c>
      <x:c r="H128" s="7" t="str">
        <x:v>Pause if your route crosses the shot.</x:v>
      </x:c>
      <x:c r="I128" s="7" t="str">
        <x:v>MSA05</x:v>
      </x:c>
      <x:c r="J128" s="8" t="str"/>
    </x:row>
    <x:row r="129" ht="116" customHeight="1">
      <x:c r="A129" s="7" t="str">
        <x:v>D16</x:v>
      </x:c>
      <x:c r="B129" s="7" t="str">
        <x:v>base</x:v>
      </x:c>
      <x:c r="C129" s="7" t="str">
        <x:v>A</x:v>
      </x:c>
      <x:c r="D129" s="7" t="str">
        <x:v>Pass inside to ST</x:v>
      </x:c>
      <x:c r="E129" s="7" t="str">
        <x:v>preferred</x:v>
      </x:c>
      <x:c r="F129" s="7" t="str">
        <x:v>Read the original cue: Shot lane is blocked; teammate has a clear lane.</x:v>
      </x:c>
      <x:c r="G129" s="7" t="str">
        <x:v>Illustrative endpoint for this option; no guaranteed goal, turnover or calibrated travel time.</x:v>
      </x:c>
      <x:c r="H129" s="7" t="str">
        <x:v>Pass into the better opportunity.</x:v>
      </x:c>
      <x:c r="I129" s="7" t="str">
        <x:v>MSA06</x:v>
      </x:c>
      <x:c r="J129" s="8" t="str"/>
    </x:row>
    <x:row r="130" ht="116" customHeight="1">
      <x:c r="A130" s="7" t="str">
        <x:v>D16</x:v>
      </x:c>
      <x:c r="B130" s="7" t="str">
        <x:v>base</x:v>
      </x:c>
      <x:c r="C130" s="7" t="str">
        <x:v>B</x:v>
      </x:c>
      <x:c r="D130" s="7" t="str">
        <x:v>Shoot through the open lane</x:v>
      </x:c>
      <x:c r="E130" s="7" t="str">
        <x:v>misread</x:v>
      </x:c>
      <x:c r="F130" s="7" t="str">
        <x:v>This action is not supported by the current cue. Shot lane is blocked; teammate has a clear lane.</x:v>
      </x:c>
      <x:c r="G130" s="7" t="str">
        <x:v>Freeze for explanation; do not illustrate a successful outcome for an unavailable action.</x:v>
      </x:c>
      <x:c r="H130" s="7" t="str">
        <x:v>Pass into the better opportunity.</x:v>
      </x:c>
      <x:c r="I130" s="7" t="str">
        <x:v>MSA06</x:v>
      </x:c>
      <x:c r="J130" s="8" t="str"/>
    </x:row>
    <x:row r="131" ht="116" customHeight="1">
      <x:c r="A131" s="7" t="str">
        <x:v>D16</x:v>
      </x:c>
      <x:c r="B131" s="7" t="str">
        <x:v>base</x:v>
      </x:c>
      <x:c r="C131" s="7" t="str">
        <x:v>C</x:v>
      </x:c>
      <x:c r="D131" s="7" t="str">
        <x:v>Shoot through the set blocker.</x:v>
      </x:c>
      <x:c r="E131" s="7" t="str">
        <x:v>misread</x:v>
      </x:c>
      <x:c r="F131" s="7" t="str">
        <x:v>This risks losing the relationship we are trying to preserve: Shoot through the set blocker.</x:v>
      </x:c>
      <x:c r="G131" s="7" t="str">
        <x:v>Review pause only; no speculative failure animation.</x:v>
      </x:c>
      <x:c r="H131" s="7" t="str">
        <x:v>Pass into the better opportunity.</x:v>
      </x:c>
      <x:c r="I131" s="7" t="str">
        <x:v>MSA06</x:v>
      </x:c>
      <x:c r="J131" s="8" t="str"/>
    </x:row>
    <x:row r="132" ht="116" customHeight="1">
      <x:c r="A132" s="7" t="str">
        <x:v>D16</x:v>
      </x:c>
      <x:c r="B132" s="7" t="str">
        <x:v>base</x:v>
      </x:c>
      <x:c r="C132" s="7" t="str">
        <x:v>D</x:v>
      </x:c>
      <x:c r="D132" s="7" t="str">
        <x:v>Pause, scan and communicate before committing</x:v>
      </x:c>
      <x:c r="E132" s="7" t="str">
        <x:v>acceptable</x:v>
      </x:c>
      <x:c r="F132" s="7" t="str">
        <x:v>Scanning is useful, but reassess before the opportunity disappears.</x:v>
      </x:c>
      <x:c r="G132" s="7" t="str">
        <x:v>Review pause only; no speculative failure animation.</x:v>
      </x:c>
      <x:c r="H132" s="7" t="str">
        <x:v>Pass into the better opportunity.</x:v>
      </x:c>
      <x:c r="I132" s="7" t="str">
        <x:v>MSA06</x:v>
      </x:c>
      <x:c r="J132" s="8" t="str"/>
    </x:row>
    <x:row r="133" ht="116" customHeight="1">
      <x:c r="A133" s="7" t="str">
        <x:v>D16</x:v>
      </x:c>
      <x:c r="B133" s="7" t="str">
        <x:v>changed</x:v>
      </x:c>
      <x:c r="C133" s="7" t="str">
        <x:v>A</x:v>
      </x:c>
      <x:c r="D133" s="7" t="str">
        <x:v>Pass inside to ST</x:v>
      </x:c>
      <x:c r="E133" s="7" t="str">
        <x:v>acceptable</x:v>
      </x:c>
      <x:c r="F133" s="7" t="str">
        <x:v>Read the changed cue: The blocker has moved away; the shot route is available, although the pass remains valid.</x:v>
      </x:c>
      <x:c r="G133" s="7" t="str">
        <x:v>Illustrative endpoint for this option; no guaranteed goal, turnover or calibrated travel time.</x:v>
      </x:c>
      <x:c r="H133" s="7" t="str">
        <x:v>Shoot if the blocker moves.</x:v>
      </x:c>
      <x:c r="I133" s="7" t="str">
        <x:v>MSA06</x:v>
      </x:c>
      <x:c r="J133" s="8" t="str"/>
    </x:row>
    <x:row r="134" ht="116" customHeight="1">
      <x:c r="A134" s="7" t="str">
        <x:v>D16</x:v>
      </x:c>
      <x:c r="B134" s="7" t="str">
        <x:v>changed</x:v>
      </x:c>
      <x:c r="C134" s="7" t="str">
        <x:v>B</x:v>
      </x:c>
      <x:c r="D134" s="7" t="str">
        <x:v>Shoot through the open lane</x:v>
      </x:c>
      <x:c r="E134" s="7" t="str">
        <x:v>preferred</x:v>
      </x:c>
      <x:c r="F134" s="7" t="str">
        <x:v>Read the changed cue: The blocker has moved away; the shot route is available, although the pass remains valid.</x:v>
      </x:c>
      <x:c r="G134" s="7" t="str">
        <x:v>Illustrative endpoint for this option; no guaranteed goal, turnover or calibrated travel time.</x:v>
      </x:c>
      <x:c r="H134" s="7" t="str">
        <x:v>Shoot if the blocker moves.</x:v>
      </x:c>
      <x:c r="I134" s="7" t="str">
        <x:v>MSA06</x:v>
      </x:c>
      <x:c r="J134" s="8" t="str"/>
    </x:row>
    <x:row r="135" ht="116" customHeight="1">
      <x:c r="A135" s="7" t="str">
        <x:v>D16</x:v>
      </x:c>
      <x:c r="B135" s="7" t="str">
        <x:v>changed</x:v>
      </x:c>
      <x:c r="C135" s="7" t="str">
        <x:v>C</x:v>
      </x:c>
      <x:c r="D135" s="7" t="str">
        <x:v>Shoot through the set blocker.</x:v>
      </x:c>
      <x:c r="E135" s="7" t="str">
        <x:v>misread</x:v>
      </x:c>
      <x:c r="F135" s="7" t="str">
        <x:v>This risks losing the relationship we are trying to preserve: Shoot through the set blocker.</x:v>
      </x:c>
      <x:c r="G135" s="7" t="str">
        <x:v>Review pause only; no speculative failure animation.</x:v>
      </x:c>
      <x:c r="H135" s="7" t="str">
        <x:v>Shoot if the blocker moves.</x:v>
      </x:c>
      <x:c r="I135" s="7" t="str">
        <x:v>MSA06</x:v>
      </x:c>
      <x:c r="J135" s="8" t="str"/>
    </x:row>
    <x:row r="136" ht="116" customHeight="1">
      <x:c r="A136" s="7" t="str">
        <x:v>D16</x:v>
      </x:c>
      <x:c r="B136" s="7" t="str">
        <x:v>changed</x:v>
      </x:c>
      <x:c r="C136" s="7" t="str">
        <x:v>D</x:v>
      </x:c>
      <x:c r="D136" s="7" t="str">
        <x:v>Pause, scan and communicate before committing</x:v>
      </x:c>
      <x:c r="E136" s="7" t="str">
        <x:v>acceptable</x:v>
      </x:c>
      <x:c r="F136" s="7" t="str">
        <x:v>Scanning is useful, but reassess before the opportunity disappears.</x:v>
      </x:c>
      <x:c r="G136" s="7" t="str">
        <x:v>Review pause only; no speculative failure animation.</x:v>
      </x:c>
      <x:c r="H136" s="7" t="str">
        <x:v>Shoot if the blocker moves.</x:v>
      </x:c>
      <x:c r="I136" s="7" t="str">
        <x:v>MSA06</x:v>
      </x:c>
      <x:c r="J136" s="8" t="str"/>
    </x:row>
    <x:row r="137" ht="116" customHeight="1">
      <x:c r="A137" s="7" t="str">
        <x:v>D17</x:v>
      </x:c>
      <x:c r="B137" s="7" t="str">
        <x:v>base</x:v>
      </x:c>
      <x:c r="C137" s="7" t="str">
        <x:v>A</x:v>
      </x:c>
      <x:c r="D137" s="7" t="str">
        <x:v>Time a near-side run</x:v>
      </x:c>
      <x:c r="E137" s="7" t="str">
        <x:v>preferred</x:v>
      </x:c>
      <x:c r="F137" s="7" t="str">
        <x:v>Read the original cue: Wide carrier looks up; near-side lane is vacant.</x:v>
      </x:c>
      <x:c r="G137" s="7" t="str">
        <x:v>Illustrative endpoint for this option; no guaranteed goal, turnover or calibrated travel time.</x:v>
      </x:c>
      <x:c r="H137" s="7" t="str">
        <x:v>Attack that lane on time.</x:v>
      </x:c>
      <x:c r="I137" s="7" t="str">
        <x:v>MSA06</x:v>
      </x:c>
      <x:c r="J137" s="8" t="str"/>
    </x:row>
    <x:row r="138" ht="116" customHeight="1">
      <x:c r="A138" s="7" t="str">
        <x:v>D17</x:v>
      </x:c>
      <x:c r="B138" s="7" t="str">
        <x:v>base</x:v>
      </x:c>
      <x:c r="C138" s="7" t="str">
        <x:v>B</x:v>
      </x:c>
      <x:c r="D138" s="7" t="str">
        <x:v>Take the vacant central lane</x:v>
      </x:c>
      <x:c r="E138" s="7" t="str">
        <x:v>acceptable</x:v>
      </x:c>
      <x:c r="F138" s="7" t="str">
        <x:v>Read the original cue: Wide carrier looks up; near-side lane is vacant.</x:v>
      </x:c>
      <x:c r="G138" s="7" t="str">
        <x:v>Illustrative endpoint for this option; no guaranteed goal, turnover or calibrated travel time.</x:v>
      </x:c>
      <x:c r="H138" s="7" t="str">
        <x:v>Attack that lane on time.</x:v>
      </x:c>
      <x:c r="I138" s="7" t="str">
        <x:v>MSA06</x:v>
      </x:c>
      <x:c r="J138" s="8" t="str"/>
    </x:row>
    <x:row r="139" ht="116" customHeight="1">
      <x:c r="A139" s="7" t="str">
        <x:v>D17</x:v>
      </x:c>
      <x:c r="B139" s="7" t="str">
        <x:v>base</x:v>
      </x:c>
      <x:c r="C139" s="7" t="str">
        <x:v>C</x:v>
      </x:c>
      <x:c r="D139" s="7" t="str">
        <x:v>Arrive behind the goal line early.</x:v>
      </x:c>
      <x:c r="E139" s="7" t="str">
        <x:v>misread</x:v>
      </x:c>
      <x:c r="F139" s="7" t="str">
        <x:v>This risks losing the relationship we are trying to preserve: Arrive behind the goal line early.</x:v>
      </x:c>
      <x:c r="G139" s="7" t="str">
        <x:v>Review pause only; no speculative failure animation.</x:v>
      </x:c>
      <x:c r="H139" s="7" t="str">
        <x:v>Attack that lane on time.</x:v>
      </x:c>
      <x:c r="I139" s="7" t="str">
        <x:v>MSA06</x:v>
      </x:c>
      <x:c r="J139" s="8" t="str"/>
    </x:row>
    <x:row r="140" ht="116" customHeight="1">
      <x:c r="A140" s="7" t="str">
        <x:v>D17</x:v>
      </x:c>
      <x:c r="B140" s="7" t="str">
        <x:v>base</x:v>
      </x:c>
      <x:c r="C140" s="7" t="str">
        <x:v>D</x:v>
      </x:c>
      <x:c r="D140" s="7" t="str">
        <x:v>Pause, scan and communicate before committing</x:v>
      </x:c>
      <x:c r="E140" s="7" t="str">
        <x:v>acceptable</x:v>
      </x:c>
      <x:c r="F140" s="7" t="str">
        <x:v>Scanning is useful, but reassess before the opportunity disappears.</x:v>
      </x:c>
      <x:c r="G140" s="7" t="str">
        <x:v>Review pause only; no speculative failure animation.</x:v>
      </x:c>
      <x:c r="H140" s="7" t="str">
        <x:v>Attack that lane on time.</x:v>
      </x:c>
      <x:c r="I140" s="7" t="str">
        <x:v>MSA06</x:v>
      </x:c>
      <x:c r="J140" s="8" t="str"/>
    </x:row>
    <x:row r="141" ht="116" customHeight="1">
      <x:c r="A141" s="7" t="str">
        <x:v>D17</x:v>
      </x:c>
      <x:c r="B141" s="7" t="str">
        <x:v>changed</x:v>
      </x:c>
      <x:c r="C141" s="7" t="str">
        <x:v>A</x:v>
      </x:c>
      <x:c r="D141" s="7" t="str">
        <x:v>Time a near-side run</x:v>
      </x:c>
      <x:c r="E141" s="7" t="str">
        <x:v>misread</x:v>
      </x:c>
      <x:c r="F141" s="7" t="str">
        <x:v>This action is not supported by the current cue. A teammate occupies the near-side lane; select a different arrival lane.</x:v>
      </x:c>
      <x:c r="G141" s="7" t="str">
        <x:v>Freeze for explanation; do not illustrate a successful outcome for an unavailable action.</x:v>
      </x:c>
      <x:c r="H141" s="7" t="str">
        <x:v>Use another lane if teammate occupies it.</x:v>
      </x:c>
      <x:c r="I141" s="7" t="str">
        <x:v>MSA06</x:v>
      </x:c>
      <x:c r="J141" s="8" t="str"/>
    </x:row>
    <x:row r="142" ht="116" customHeight="1">
      <x:c r="A142" s="7" t="str">
        <x:v>D17</x:v>
      </x:c>
      <x:c r="B142" s="7" t="str">
        <x:v>changed</x:v>
      </x:c>
      <x:c r="C142" s="7" t="str">
        <x:v>B</x:v>
      </x:c>
      <x:c r="D142" s="7" t="str">
        <x:v>Take the vacant central lane</x:v>
      </x:c>
      <x:c r="E142" s="7" t="str">
        <x:v>preferred</x:v>
      </x:c>
      <x:c r="F142" s="7" t="str">
        <x:v>Read the changed cue: A teammate occupies the near-side lane; select a different arrival lane.</x:v>
      </x:c>
      <x:c r="G142" s="7" t="str">
        <x:v>Illustrative endpoint for this option; no guaranteed goal, turnover or calibrated travel time.</x:v>
      </x:c>
      <x:c r="H142" s="7" t="str">
        <x:v>Use another lane if teammate occupies it.</x:v>
      </x:c>
      <x:c r="I142" s="7" t="str">
        <x:v>MSA06</x:v>
      </x:c>
      <x:c r="J142" s="8" t="str"/>
    </x:row>
    <x:row r="143" ht="116" customHeight="1">
      <x:c r="A143" s="7" t="str">
        <x:v>D17</x:v>
      </x:c>
      <x:c r="B143" s="7" t="str">
        <x:v>changed</x:v>
      </x:c>
      <x:c r="C143" s="7" t="str">
        <x:v>C</x:v>
      </x:c>
      <x:c r="D143" s="7" t="str">
        <x:v>Arrive behind the goal line early.</x:v>
      </x:c>
      <x:c r="E143" s="7" t="str">
        <x:v>misread</x:v>
      </x:c>
      <x:c r="F143" s="7" t="str">
        <x:v>This risks losing the relationship we are trying to preserve: Arrive behind the goal line early.</x:v>
      </x:c>
      <x:c r="G143" s="7" t="str">
        <x:v>Review pause only; no speculative failure animation.</x:v>
      </x:c>
      <x:c r="H143" s="7" t="str">
        <x:v>Use another lane if teammate occupies it.</x:v>
      </x:c>
      <x:c r="I143" s="7" t="str">
        <x:v>MSA06</x:v>
      </x:c>
      <x:c r="J143" s="8" t="str"/>
    </x:row>
    <x:row r="144" ht="116" customHeight="1">
      <x:c r="A144" s="7" t="str">
        <x:v>D17</x:v>
      </x:c>
      <x:c r="B144" s="7" t="str">
        <x:v>changed</x:v>
      </x:c>
      <x:c r="C144" s="7" t="str">
        <x:v>D</x:v>
      </x:c>
      <x:c r="D144" s="7" t="str">
        <x:v>Pause, scan and communicate before committing</x:v>
      </x:c>
      <x:c r="E144" s="7" t="str">
        <x:v>acceptable</x:v>
      </x:c>
      <x:c r="F144" s="7" t="str">
        <x:v>Scanning is useful, but reassess before the opportunity disappears.</x:v>
      </x:c>
      <x:c r="G144" s="7" t="str">
        <x:v>Review pause only; no speculative failure animation.</x:v>
      </x:c>
      <x:c r="H144" s="7" t="str">
        <x:v>Use another lane if teammate occupies it.</x:v>
      </x:c>
      <x:c r="I144" s="7" t="str">
        <x:v>MSA06</x:v>
      </x:c>
      <x:c r="J144" s="8" t="str"/>
    </x:row>
    <x:row r="145" ht="116" customHeight="1">
      <x:c r="A145" s="7" t="str">
        <x:v>D18</x:v>
      </x:c>
      <x:c r="B145" s="7" t="str">
        <x:v>base</x:v>
      </x:c>
      <x:c r="C145" s="7" t="str">
        <x:v>A</x:v>
      </x:c>
      <x:c r="D145" s="7" t="str">
        <x:v>Support the cutback</x:v>
      </x:c>
      <x:c r="E145" s="7" t="str">
        <x:v>preferred</x:v>
      </x:c>
      <x:c r="F145" s="7" t="str">
        <x:v>Read the original cue: Two attackers already occupy finishing lanes.</x:v>
      </x:c>
      <x:c r="G145" s="7" t="str">
        <x:v>Illustrative endpoint for this option; no guaranteed goal, turnover or calibrated travel time.</x:v>
      </x:c>
      <x:c r="H145" s="7" t="str">
        <x:v>Support the cutback space.</x:v>
      </x:c>
      <x:c r="I145" s="7" t="str">
        <x:v>MSA06</x:v>
      </x:c>
      <x:c r="J145" s="8" t="str"/>
    </x:row>
    <x:row r="146" ht="116" customHeight="1">
      <x:c r="A146" s="7" t="str">
        <x:v>D18</x:v>
      </x:c>
      <x:c r="B146" s="7" t="str">
        <x:v>base</x:v>
      </x:c>
      <x:c r="C146" s="7" t="str">
        <x:v>B</x:v>
      </x:c>
      <x:c r="D146" s="7" t="str">
        <x:v>Hold transition cover</x:v>
      </x:c>
      <x:c r="E146" s="7" t="str">
        <x:v>acceptable</x:v>
      </x:c>
      <x:c r="F146" s="7" t="str">
        <x:v>Read the original cue: Two attackers already occupy finishing lanes.</x:v>
      </x:c>
      <x:c r="G146" s="7" t="str">
        <x:v>Illustrative endpoint for this option; no guaranteed goal, turnover or calibrated travel time.</x:v>
      </x:c>
      <x:c r="H146" s="7" t="str">
        <x:v>Support the cutback space.</x:v>
      </x:c>
      <x:c r="I146" s="7" t="str">
        <x:v>MSA06</x:v>
      </x:c>
      <x:c r="J146" s="8" t="str"/>
    </x:row>
    <x:row r="147" ht="116" customHeight="1">
      <x:c r="A147" s="7" t="str">
        <x:v>D18</x:v>
      </x:c>
      <x:c r="B147" s="7" t="str">
        <x:v>base</x:v>
      </x:c>
      <x:c r="C147" s="7" t="str">
        <x:v>C</x:v>
      </x:c>
      <x:c r="D147" s="7" t="str">
        <x:v>Join the same near-post run.</x:v>
      </x:c>
      <x:c r="E147" s="7" t="str">
        <x:v>misread</x:v>
      </x:c>
      <x:c r="F147" s="7" t="str">
        <x:v>This risks losing the relationship we are trying to preserve: Join the same near-post run.</x:v>
      </x:c>
      <x:c r="G147" s="7" t="str">
        <x:v>Review pause only; no speculative failure animation.</x:v>
      </x:c>
      <x:c r="H147" s="7" t="str">
        <x:v>Support the cutback space.</x:v>
      </x:c>
      <x:c r="I147" s="7" t="str">
        <x:v>MSA06</x:v>
      </x:c>
      <x:c r="J147" s="8" t="str"/>
    </x:row>
    <x:row r="148" ht="116" customHeight="1">
      <x:c r="A148" s="7" t="str">
        <x:v>D18</x:v>
      </x:c>
      <x:c r="B148" s="7" t="str">
        <x:v>base</x:v>
      </x:c>
      <x:c r="C148" s="7" t="str">
        <x:v>D</x:v>
      </x:c>
      <x:c r="D148" s="7" t="str">
        <x:v>Pause, scan and communicate before committing</x:v>
      </x:c>
      <x:c r="E148" s="7" t="str">
        <x:v>acceptable</x:v>
      </x:c>
      <x:c r="F148" s="7" t="str">
        <x:v>Scanning is useful, but reassess before the opportunity disappears.</x:v>
      </x:c>
      <x:c r="G148" s="7" t="str">
        <x:v>Review pause only; no speculative failure animation.</x:v>
      </x:c>
      <x:c r="H148" s="7" t="str">
        <x:v>Support the cutback space.</x:v>
      </x:c>
      <x:c r="I148" s="7" t="str">
        <x:v>MSA06</x:v>
      </x:c>
      <x:c r="J148" s="8" t="str"/>
    </x:row>
    <x:row r="149" ht="116" customHeight="1">
      <x:c r="A149" s="7" t="str">
        <x:v>D18</x:v>
      </x:c>
      <x:c r="B149" s="7" t="str">
        <x:v>changed</x:v>
      </x:c>
      <x:c r="C149" s="7" t="str">
        <x:v>A</x:v>
      </x:c>
      <x:c r="D149" s="7" t="str">
        <x:v>Support the cutback</x:v>
      </x:c>
      <x:c r="E149" s="7" t="str">
        <x:v>acceptable</x:v>
      </x:c>
      <x:c r="F149" s="7" t="str">
        <x:v>Read the changed cue: The holding midfielder has advanced; an opponent is available behind the attack.</x:v>
      </x:c>
      <x:c r="G149" s="7" t="str">
        <x:v>Illustrative endpoint for this option; no guaranteed goal, turnover or calibrated travel time.</x:v>
      </x:c>
      <x:c r="H149" s="7" t="str">
        <x:v>Hold behind if turnover cover is missing.</x:v>
      </x:c>
      <x:c r="I149" s="7" t="str">
        <x:v>MSA06</x:v>
      </x:c>
      <x:c r="J149" s="8" t="str"/>
    </x:row>
    <x:row r="150" ht="116" customHeight="1">
      <x:c r="A150" s="7" t="str">
        <x:v>D18</x:v>
      </x:c>
      <x:c r="B150" s="7" t="str">
        <x:v>changed</x:v>
      </x:c>
      <x:c r="C150" s="7" t="str">
        <x:v>B</x:v>
      </x:c>
      <x:c r="D150" s="7" t="str">
        <x:v>Hold transition cover</x:v>
      </x:c>
      <x:c r="E150" s="7" t="str">
        <x:v>preferred</x:v>
      </x:c>
      <x:c r="F150" s="7" t="str">
        <x:v>Read the changed cue: The holding midfielder has advanced; an opponent is available behind the attack.</x:v>
      </x:c>
      <x:c r="G150" s="7" t="str">
        <x:v>Illustrative endpoint for this option; no guaranteed goal, turnover or calibrated travel time.</x:v>
      </x:c>
      <x:c r="H150" s="7" t="str">
        <x:v>Hold behind if turnover cover is missing.</x:v>
      </x:c>
      <x:c r="I150" s="7" t="str">
        <x:v>MSA06</x:v>
      </x:c>
      <x:c r="J150" s="8" t="str"/>
    </x:row>
    <x:row r="151" ht="116" customHeight="1">
      <x:c r="A151" s="7" t="str">
        <x:v>D18</x:v>
      </x:c>
      <x:c r="B151" s="7" t="str">
        <x:v>changed</x:v>
      </x:c>
      <x:c r="C151" s="7" t="str">
        <x:v>C</x:v>
      </x:c>
      <x:c r="D151" s="7" t="str">
        <x:v>Join the same near-post run.</x:v>
      </x:c>
      <x:c r="E151" s="7" t="str">
        <x:v>misread</x:v>
      </x:c>
      <x:c r="F151" s="7" t="str">
        <x:v>This risks losing the relationship we are trying to preserve: Join the same near-post run.</x:v>
      </x:c>
      <x:c r="G151" s="7" t="str">
        <x:v>Review pause only; no speculative failure animation.</x:v>
      </x:c>
      <x:c r="H151" s="7" t="str">
        <x:v>Hold behind if turnover cover is missing.</x:v>
      </x:c>
      <x:c r="I151" s="7" t="str">
        <x:v>MSA06</x:v>
      </x:c>
      <x:c r="J151" s="8" t="str"/>
    </x:row>
    <x:row r="152" ht="116" customHeight="1">
      <x:c r="A152" s="7" t="str">
        <x:v>D18</x:v>
      </x:c>
      <x:c r="B152" s="7" t="str">
        <x:v>changed</x:v>
      </x:c>
      <x:c r="C152" s="7" t="str">
        <x:v>D</x:v>
      </x:c>
      <x:c r="D152" s="7" t="str">
        <x:v>Pause, scan and communicate before committing</x:v>
      </x:c>
      <x:c r="E152" s="7" t="str">
        <x:v>acceptable</x:v>
      </x:c>
      <x:c r="F152" s="7" t="str">
        <x:v>Scanning is useful, but reassess before the opportunity disappears.</x:v>
      </x:c>
      <x:c r="G152" s="7" t="str">
        <x:v>Review pause only; no speculative failure animation.</x:v>
      </x:c>
      <x:c r="H152" s="7" t="str">
        <x:v>Hold behind if turnover cover is missing.</x:v>
      </x:c>
      <x:c r="I152" s="7" t="str">
        <x:v>MSA06</x:v>
      </x:c>
      <x:c r="J152" s="8" t="str"/>
    </x:row>
    <x:row r="153" ht="116" customHeight="1">
      <x:c r="A153" s="7" t="str">
        <x:v>D19</x:v>
      </x:c>
      <x:c r="B153" s="7" t="str">
        <x:v>base</x:v>
      </x:c>
      <x:c r="C153" s="7" t="str">
        <x:v>A</x:v>
      </x:c>
      <x:c r="D153" s="7" t="str">
        <x:v>Contest the exposed ball</x:v>
      </x:c>
      <x:c r="E153" s="7" t="str">
        <x:v>preferred</x:v>
      </x:c>
      <x:c r="F153" s="7" t="str">
        <x:v>Read the original cue: Poor touch is reachable; central support is set.</x:v>
      </x:c>
      <x:c r="G153" s="7" t="str">
        <x:v>Illustrative endpoint for this option; no guaranteed goal, turnover or calibrated travel time.</x:v>
      </x:c>
      <x:c r="H153" s="7" t="str">
        <x:v>Close under control.</x:v>
      </x:c>
      <x:c r="I153" s="7" t="str">
        <x:v>MSA07</x:v>
      </x:c>
      <x:c r="J153" s="8" t="str"/>
    </x:row>
    <x:row r="154" ht="116" customHeight="1">
      <x:c r="A154" s="7" t="str">
        <x:v>D19</x:v>
      </x:c>
      <x:c r="B154" s="7" t="str">
        <x:v>base</x:v>
      </x:c>
      <x:c r="C154" s="7" t="str">
        <x:v>B</x:v>
      </x:c>
      <x:c r="D154" s="7" t="str">
        <x:v>Contain the central route</x:v>
      </x:c>
      <x:c r="E154" s="7" t="str">
        <x:v>acceptable</x:v>
      </x:c>
      <x:c r="F154" s="7" t="str">
        <x:v>Read the original cue: Poor touch is reachable; central support is set.</x:v>
      </x:c>
      <x:c r="G154" s="7" t="str">
        <x:v>Illustrative endpoint for this option; no guaranteed goal, turnover or calibrated travel time.</x:v>
      </x:c>
      <x:c r="H154" s="7" t="str">
        <x:v>Close under control.</x:v>
      </x:c>
      <x:c r="I154" s="7" t="str">
        <x:v>MSA07</x:v>
      </x:c>
      <x:c r="J154" s="8" t="str"/>
    </x:row>
    <x:row r="155" ht="116" customHeight="1">
      <x:c r="A155" s="7" t="str">
        <x:v>D19</x:v>
      </x:c>
      <x:c r="B155" s="7" t="str">
        <x:v>base</x:v>
      </x:c>
      <x:c r="C155" s="7" t="str">
        <x:v>C</x:v>
      </x:c>
      <x:c r="D155" s="7" t="str">
        <x:v>Lunge from too far away.</x:v>
      </x:c>
      <x:c r="E155" s="7" t="str">
        <x:v>misread</x:v>
      </x:c>
      <x:c r="F155" s="7" t="str">
        <x:v>This risks losing the relationship we are trying to preserve: Lunge from too far away.</x:v>
      </x:c>
      <x:c r="G155" s="7" t="str">
        <x:v>Review pause only; no speculative failure animation.</x:v>
      </x:c>
      <x:c r="H155" s="7" t="str">
        <x:v>Close under control.</x:v>
      </x:c>
      <x:c r="I155" s="7" t="str">
        <x:v>MSA07</x:v>
      </x:c>
      <x:c r="J155" s="8" t="str"/>
    </x:row>
    <x:row r="156" ht="116" customHeight="1">
      <x:c r="A156" s="7" t="str">
        <x:v>D19</x:v>
      </x:c>
      <x:c r="B156" s="7" t="str">
        <x:v>base</x:v>
      </x:c>
      <x:c r="C156" s="7" t="str">
        <x:v>D</x:v>
      </x:c>
      <x:c r="D156" s="7" t="str">
        <x:v>Pause, scan and communicate before committing</x:v>
      </x:c>
      <x:c r="E156" s="7" t="str">
        <x:v>acceptable</x:v>
      </x:c>
      <x:c r="F156" s="7" t="str">
        <x:v>Scanning is useful, but reassess before the opportunity disappears.</x:v>
      </x:c>
      <x:c r="G156" s="7" t="str">
        <x:v>Review pause only; no speculative failure animation.</x:v>
      </x:c>
      <x:c r="H156" s="7" t="str">
        <x:v>Close under control.</x:v>
      </x:c>
      <x:c r="I156" s="7" t="str">
        <x:v>MSA07</x:v>
      </x:c>
      <x:c r="J156" s="8" t="str"/>
    </x:row>
    <x:row r="157" ht="116" customHeight="1">
      <x:c r="A157" s="7" t="str">
        <x:v>D19</x:v>
      </x:c>
      <x:c r="B157" s="7" t="str">
        <x:v>changed</x:v>
      </x:c>
      <x:c r="C157" s="7" t="str">
        <x:v>A</x:v>
      </x:c>
      <x:c r="D157" s="7" t="str">
        <x:v>Contest the exposed ball</x:v>
      </x:c>
      <x:c r="E157" s="7" t="str">
        <x:v>misread</x:v>
      </x:c>
      <x:c r="F157" s="7" t="str">
        <x:v>This action is not supported by the current cue. The opponent has secured the touch before you arrive; the loose-ball cue has expired.</x:v>
      </x:c>
      <x:c r="G157" s="7" t="str">
        <x:v>Freeze for explanation; do not illustrate a successful outcome for an unavailable action.</x:v>
      </x:c>
      <x:c r="H157" s="7" t="str">
        <x:v>Delay if opponent regains control first.</x:v>
      </x:c>
      <x:c r="I157" s="7" t="str">
        <x:v>MSA07</x:v>
      </x:c>
      <x:c r="J157" s="8" t="str"/>
    </x:row>
    <x:row r="158" ht="116" customHeight="1">
      <x:c r="A158" s="7" t="str">
        <x:v>D19</x:v>
      </x:c>
      <x:c r="B158" s="7" t="str">
        <x:v>changed</x:v>
      </x:c>
      <x:c r="C158" s="7" t="str">
        <x:v>B</x:v>
      </x:c>
      <x:c r="D158" s="7" t="str">
        <x:v>Contain the central route</x:v>
      </x:c>
      <x:c r="E158" s="7" t="str">
        <x:v>preferred</x:v>
      </x:c>
      <x:c r="F158" s="7" t="str">
        <x:v>Read the changed cue: The opponent has secured the touch before you arrive; the loose-ball cue has expired.</x:v>
      </x:c>
      <x:c r="G158" s="7" t="str">
        <x:v>Illustrative endpoint for this option; no guaranteed goal, turnover or calibrated travel time.</x:v>
      </x:c>
      <x:c r="H158" s="7" t="str">
        <x:v>Delay if opponent regains control first.</x:v>
      </x:c>
      <x:c r="I158" s="7" t="str">
        <x:v>MSA07</x:v>
      </x:c>
      <x:c r="J158" s="8" t="str"/>
    </x:row>
    <x:row r="159" ht="116" customHeight="1">
      <x:c r="A159" s="7" t="str">
        <x:v>D19</x:v>
      </x:c>
      <x:c r="B159" s="7" t="str">
        <x:v>changed</x:v>
      </x:c>
      <x:c r="C159" s="7" t="str">
        <x:v>C</x:v>
      </x:c>
      <x:c r="D159" s="7" t="str">
        <x:v>Lunge from too far away.</x:v>
      </x:c>
      <x:c r="E159" s="7" t="str">
        <x:v>misread</x:v>
      </x:c>
      <x:c r="F159" s="7" t="str">
        <x:v>This risks losing the relationship we are trying to preserve: Lunge from too far away.</x:v>
      </x:c>
      <x:c r="G159" s="7" t="str">
        <x:v>Review pause only; no speculative failure animation.</x:v>
      </x:c>
      <x:c r="H159" s="7" t="str">
        <x:v>Delay if opponent regains control first.</x:v>
      </x:c>
      <x:c r="I159" s="7" t="str">
        <x:v>MSA07</x:v>
      </x:c>
      <x:c r="J159" s="8" t="str"/>
    </x:row>
    <x:row r="160" ht="116" customHeight="1">
      <x:c r="A160" s="7" t="str">
        <x:v>D19</x:v>
      </x:c>
      <x:c r="B160" s="7" t="str">
        <x:v>changed</x:v>
      </x:c>
      <x:c r="C160" s="7" t="str">
        <x:v>D</x:v>
      </x:c>
      <x:c r="D160" s="7" t="str">
        <x:v>Pause, scan and communicate before committing</x:v>
      </x:c>
      <x:c r="E160" s="7" t="str">
        <x:v>acceptable</x:v>
      </x:c>
      <x:c r="F160" s="7" t="str">
        <x:v>Scanning is useful, but reassess before the opportunity disappears.</x:v>
      </x:c>
      <x:c r="G160" s="7" t="str">
        <x:v>Review pause only; no speculative failure animation.</x:v>
      </x:c>
      <x:c r="H160" s="7" t="str">
        <x:v>Delay if opponent regains control first.</x:v>
      </x:c>
      <x:c r="I160" s="7" t="str">
        <x:v>MSA07</x:v>
      </x:c>
      <x:c r="J160" s="8" t="str"/>
    </x:row>
    <x:row r="161" ht="116" customHeight="1">
      <x:c r="A161" s="7" t="str">
        <x:v>D20</x:v>
      </x:c>
      <x:c r="B161" s="7" t="str">
        <x:v>base</x:v>
      </x:c>
      <x:c r="C161" s="7" t="str">
        <x:v>A</x:v>
      </x:c>
      <x:c r="D161" s="7" t="str">
        <x:v>Screen the inside receiver</x:v>
      </x:c>
      <x:c r="E161" s="7" t="str">
        <x:v>preferred</x:v>
      </x:c>
      <x:c r="F161" s="7" t="str">
        <x:v>Read the original cue: Striker presses; inside receiver is free.</x:v>
      </x:c>
      <x:c r="G161" s="7" t="str">
        <x:v>Illustrative endpoint for this option; no guaranteed goal, turnover or calibrated travel time.</x:v>
      </x:c>
      <x:c r="H161" s="7" t="str">
        <x:v>Screen the inside connection.</x:v>
      </x:c>
      <x:c r="I161" s="7" t="str">
        <x:v>MSA07</x:v>
      </x:c>
      <x:c r="J161" s="8" t="str"/>
    </x:row>
    <x:row r="162" ht="116" customHeight="1">
      <x:c r="A162" s="7" t="str">
        <x:v>D20</x:v>
      </x:c>
      <x:c r="B162" s="7" t="str">
        <x:v>base</x:v>
      </x:c>
      <x:c r="C162" s="7" t="str">
        <x:v>B</x:v>
      </x:c>
      <x:c r="D162" s="7" t="str">
        <x:v>Take over pressure</x:v>
      </x:c>
      <x:c r="E162" s="7" t="str">
        <x:v>acceptable</x:v>
      </x:c>
      <x:c r="F162" s="7" t="str">
        <x:v>Read the original cue: Striker presses; inside receiver is free.</x:v>
      </x:c>
      <x:c r="G162" s="7" t="str">
        <x:v>Illustrative endpoint for this option; no guaranteed goal, turnover or calibrated travel time.</x:v>
      </x:c>
      <x:c r="H162" s="7" t="str">
        <x:v>Screen the inside connection.</x:v>
      </x:c>
      <x:c r="I162" s="7" t="str">
        <x:v>MSA07</x:v>
      </x:c>
      <x:c r="J162" s="8" t="str"/>
    </x:row>
    <x:row r="163" ht="116" customHeight="1">
      <x:c r="A163" s="7" t="str">
        <x:v>D20</x:v>
      </x:c>
      <x:c r="B163" s="7" t="str">
        <x:v>base</x:v>
      </x:c>
      <x:c r="C163" s="7" t="str">
        <x:v>C</x:v>
      </x:c>
      <x:c r="D163" s="7" t="str">
        <x:v>Chase the same ball unnecessarily.</x:v>
      </x:c>
      <x:c r="E163" s="7" t="str">
        <x:v>misread</x:v>
      </x:c>
      <x:c r="F163" s="7" t="str">
        <x:v>This risks losing the relationship we are trying to preserve: Chase the same ball unnecessarily.</x:v>
      </x:c>
      <x:c r="G163" s="7" t="str">
        <x:v>Review pause only; no speculative failure animation.</x:v>
      </x:c>
      <x:c r="H163" s="7" t="str">
        <x:v>Screen the inside connection.</x:v>
      </x:c>
      <x:c r="I163" s="7" t="str">
        <x:v>MSA07</x:v>
      </x:c>
      <x:c r="J163" s="8" t="str"/>
    </x:row>
    <x:row r="164" ht="116" customHeight="1">
      <x:c r="A164" s="7" t="str">
        <x:v>D20</x:v>
      </x:c>
      <x:c r="B164" s="7" t="str">
        <x:v>base</x:v>
      </x:c>
      <x:c r="C164" s="7" t="str">
        <x:v>D</x:v>
      </x:c>
      <x:c r="D164" s="7" t="str">
        <x:v>Pause, scan and communicate before committing</x:v>
      </x:c>
      <x:c r="E164" s="7" t="str">
        <x:v>acceptable</x:v>
      </x:c>
      <x:c r="F164" s="7" t="str">
        <x:v>Scanning is useful, but reassess before the opportunity disappears.</x:v>
      </x:c>
      <x:c r="G164" s="7" t="str">
        <x:v>Review pause only; no speculative failure animation.</x:v>
      </x:c>
      <x:c r="H164" s="7" t="str">
        <x:v>Screen the inside connection.</x:v>
      </x:c>
      <x:c r="I164" s="7" t="str">
        <x:v>MSA07</x:v>
      </x:c>
      <x:c r="J164" s="8" t="str"/>
    </x:row>
    <x:row r="165" ht="116" customHeight="1">
      <x:c r="A165" s="7" t="str">
        <x:v>D20</x:v>
      </x:c>
      <x:c r="B165" s="7" t="str">
        <x:v>changed</x:v>
      </x:c>
      <x:c r="C165" s="7" t="str">
        <x:v>A</x:v>
      </x:c>
      <x:c r="D165" s="7" t="str">
        <x:v>Screen the inside receiver</x:v>
      </x:c>
      <x:c r="E165" s="7" t="str">
        <x:v>acceptable</x:v>
      </x:c>
      <x:c r="F165" s="7" t="str">
        <x:v>Read the changed cue: The carrier has escaped the striker toward you; take pressure while ST recovers.</x:v>
      </x:c>
      <x:c r="G165" s="7" t="str">
        <x:v>Illustrative endpoint for this option; no guaranteed goal, turnover or calibrated travel time.</x:v>
      </x:c>
      <x:c r="H165" s="7" t="str">
        <x:v>Take over pressure after a clear handoff.</x:v>
      </x:c>
      <x:c r="I165" s="7" t="str">
        <x:v>MSA07</x:v>
      </x:c>
      <x:c r="J165" s="8" t="str"/>
    </x:row>
    <x:row r="166" ht="116" customHeight="1">
      <x:c r="A166" s="7" t="str">
        <x:v>D20</x:v>
      </x:c>
      <x:c r="B166" s="7" t="str">
        <x:v>changed</x:v>
      </x:c>
      <x:c r="C166" s="7" t="str">
        <x:v>B</x:v>
      </x:c>
      <x:c r="D166" s="7" t="str">
        <x:v>Take over pressure</x:v>
      </x:c>
      <x:c r="E166" s="7" t="str">
        <x:v>preferred</x:v>
      </x:c>
      <x:c r="F166" s="7" t="str">
        <x:v>Read the changed cue: The carrier has escaped the striker toward you; take pressure while ST recovers.</x:v>
      </x:c>
      <x:c r="G166" s="7" t="str">
        <x:v>Illustrative endpoint for this option; no guaranteed goal, turnover or calibrated travel time.</x:v>
      </x:c>
      <x:c r="H166" s="7" t="str">
        <x:v>Take over pressure after a clear handoff.</x:v>
      </x:c>
      <x:c r="I166" s="7" t="str">
        <x:v>MSA07</x:v>
      </x:c>
      <x:c r="J166" s="8" t="str"/>
    </x:row>
    <x:row r="167" ht="116" customHeight="1">
      <x:c r="A167" s="7" t="str">
        <x:v>D20</x:v>
      </x:c>
      <x:c r="B167" s="7" t="str">
        <x:v>changed</x:v>
      </x:c>
      <x:c r="C167" s="7" t="str">
        <x:v>C</x:v>
      </x:c>
      <x:c r="D167" s="7" t="str">
        <x:v>Chase the same ball unnecessarily.</x:v>
      </x:c>
      <x:c r="E167" s="7" t="str">
        <x:v>misread</x:v>
      </x:c>
      <x:c r="F167" s="7" t="str">
        <x:v>This risks losing the relationship we are trying to preserve: Chase the same ball unnecessarily.</x:v>
      </x:c>
      <x:c r="G167" s="7" t="str">
        <x:v>Review pause only; no speculative failure animation.</x:v>
      </x:c>
      <x:c r="H167" s="7" t="str">
        <x:v>Take over pressure after a clear handoff.</x:v>
      </x:c>
      <x:c r="I167" s="7" t="str">
        <x:v>MSA07</x:v>
      </x:c>
      <x:c r="J167" s="8" t="str"/>
    </x:row>
    <x:row r="168" ht="116" customHeight="1">
      <x:c r="A168" s="7" t="str">
        <x:v>D20</x:v>
      </x:c>
      <x:c r="B168" s="7" t="str">
        <x:v>changed</x:v>
      </x:c>
      <x:c r="C168" s="7" t="str">
        <x:v>D</x:v>
      </x:c>
      <x:c r="D168" s="7" t="str">
        <x:v>Pause, scan and communicate before committing</x:v>
      </x:c>
      <x:c r="E168" s="7" t="str">
        <x:v>acceptable</x:v>
      </x:c>
      <x:c r="F168" s="7" t="str">
        <x:v>Scanning is useful, but reassess before the opportunity disappears.</x:v>
      </x:c>
      <x:c r="G168" s="7" t="str">
        <x:v>Review pause only; no speculative failure animation.</x:v>
      </x:c>
      <x:c r="H168" s="7" t="str">
        <x:v>Take over pressure after a clear handoff.</x:v>
      </x:c>
      <x:c r="I168" s="7" t="str">
        <x:v>MSA07</x:v>
      </x:c>
      <x:c r="J168" s="8" t="str"/>
    </x:row>
    <x:row r="169" ht="116" customHeight="1">
      <x:c r="A169" s="7" t="str">
        <x:v>D21</x:v>
      </x:c>
      <x:c r="B169" s="7" t="str">
        <x:v>base</x:v>
      </x:c>
      <x:c r="C169" s="7" t="str">
        <x:v>A</x:v>
      </x:c>
      <x:c r="D169" s="7" t="str">
        <x:v>Recover goal-side</x:v>
      </x:c>
      <x:c r="E169" s="7" t="str">
        <x:v>preferred</x:v>
      </x:c>
      <x:c r="F169" s="7" t="str">
        <x:v>Read the original cue: Opponent escapes the first press.</x:v>
      </x:c>
      <x:c r="G169" s="7" t="str">
        <x:v>Illustrative endpoint for this option; no guaranteed goal, turnover or calibrated travel time.</x:v>
      </x:c>
      <x:c r="H169" s="7" t="str">
        <x:v>Recover goal-side and reconnect.</x:v>
      </x:c>
      <x:c r="I169" s="7" t="str">
        <x:v>MSA07</x:v>
      </x:c>
      <x:c r="J169" s="8" t="str"/>
    </x:row>
    <x:row r="170" ht="116" customHeight="1">
      <x:c r="A170" s="7" t="str">
        <x:v>D21</x:v>
      </x:c>
      <x:c r="B170" s="7" t="str">
        <x:v>base</x:v>
      </x:c>
      <x:c r="C170" s="7" t="str">
        <x:v>B</x:v>
      </x:c>
      <x:c r="D170" s="7" t="str">
        <x:v>Contest with cover</x:v>
      </x:c>
      <x:c r="E170" s="7" t="str">
        <x:v>misread</x:v>
      </x:c>
      <x:c r="F170" s="7" t="str">
        <x:v>This action is not supported by the current cue. Opponent escapes the first press.</x:v>
      </x:c>
      <x:c r="G170" s="7" t="str">
        <x:v>Freeze for explanation; do not illustrate a successful outcome for an unavailable action.</x:v>
      </x:c>
      <x:c r="H170" s="7" t="str">
        <x:v>Recover goal-side and reconnect.</x:v>
      </x:c>
      <x:c r="I170" s="7" t="str">
        <x:v>MSA07</x:v>
      </x:c>
      <x:c r="J170" s="8" t="str"/>
    </x:row>
    <x:row r="171" ht="116" customHeight="1">
      <x:c r="A171" s="7" t="str">
        <x:v>D21</x:v>
      </x:c>
      <x:c r="B171" s="7" t="str">
        <x:v>base</x:v>
      </x:c>
      <x:c r="C171" s="7" t="str">
        <x:v>C</x:v>
      </x:c>
      <x:c r="D171" s="7" t="str">
        <x:v>Continue an isolated chase.</x:v>
      </x:c>
      <x:c r="E171" s="7" t="str">
        <x:v>misread</x:v>
      </x:c>
      <x:c r="F171" s="7" t="str">
        <x:v>This risks losing the relationship we are trying to preserve: Continue an isolated chase.</x:v>
      </x:c>
      <x:c r="G171" s="7" t="str">
        <x:v>Review pause only; no speculative failure animation.</x:v>
      </x:c>
      <x:c r="H171" s="7" t="str">
        <x:v>Recover goal-side and reconnect.</x:v>
      </x:c>
      <x:c r="I171" s="7" t="str">
        <x:v>MSA07</x:v>
      </x:c>
      <x:c r="J171" s="8" t="str"/>
    </x:row>
    <x:row r="172" ht="116" customHeight="1">
      <x:c r="A172" s="7" t="str">
        <x:v>D21</x:v>
      </x:c>
      <x:c r="B172" s="7" t="str">
        <x:v>base</x:v>
      </x:c>
      <x:c r="C172" s="7" t="str">
        <x:v>D</x:v>
      </x:c>
      <x:c r="D172" s="7" t="str">
        <x:v>Pause, scan and communicate before committing</x:v>
      </x:c>
      <x:c r="E172" s="7" t="str">
        <x:v>acceptable</x:v>
      </x:c>
      <x:c r="F172" s="7" t="str">
        <x:v>Scanning is useful, but reassess before the opportunity disappears.</x:v>
      </x:c>
      <x:c r="G172" s="7" t="str">
        <x:v>Review pause only; no speculative failure animation.</x:v>
      </x:c>
      <x:c r="H172" s="7" t="str">
        <x:v>Recover goal-side and reconnect.</x:v>
      </x:c>
      <x:c r="I172" s="7" t="str">
        <x:v>MSA07</x:v>
      </x:c>
      <x:c r="J172" s="8" t="str"/>
    </x:row>
    <x:row r="173" ht="116" customHeight="1">
      <x:c r="A173" s="7" t="str">
        <x:v>D21</x:v>
      </x:c>
      <x:c r="B173" s="7" t="str">
        <x:v>changed</x:v>
      </x:c>
      <x:c r="C173" s="7" t="str">
        <x:v>A</x:v>
      </x:c>
      <x:c r="D173" s="7" t="str">
        <x:v>Recover goal-side</x:v>
      </x:c>
      <x:c r="E173" s="7" t="str">
        <x:v>acceptable</x:v>
      </x:c>
      <x:c r="F173" s="7" t="str">
        <x:v>Read the changed cue: The ball is loose within reach and CM is now covering behind you.</x:v>
      </x:c>
      <x:c r="G173" s="7" t="str">
        <x:v>Illustrative endpoint for this option; no guaranteed goal, turnover or calibrated travel time.</x:v>
      </x:c>
      <x:c r="H173" s="7" t="str">
        <x:v>Counterpress only with reachable ball and cover.</x:v>
      </x:c>
      <x:c r="I173" s="7" t="str">
        <x:v>MSA07</x:v>
      </x:c>
      <x:c r="J173" s="8" t="str"/>
    </x:row>
    <x:row r="174" ht="116" customHeight="1">
      <x:c r="A174" s="7" t="str">
        <x:v>D21</x:v>
      </x:c>
      <x:c r="B174" s="7" t="str">
        <x:v>changed</x:v>
      </x:c>
      <x:c r="C174" s="7" t="str">
        <x:v>B</x:v>
      </x:c>
      <x:c r="D174" s="7" t="str">
        <x:v>Contest with cover</x:v>
      </x:c>
      <x:c r="E174" s="7" t="str">
        <x:v>preferred</x:v>
      </x:c>
      <x:c r="F174" s="7" t="str">
        <x:v>Read the changed cue: The ball is loose within reach and CM is now covering behind you.</x:v>
      </x:c>
      <x:c r="G174" s="7" t="str">
        <x:v>Illustrative endpoint for this option; no guaranteed goal, turnover or calibrated travel time.</x:v>
      </x:c>
      <x:c r="H174" s="7" t="str">
        <x:v>Counterpress only with reachable ball and cover.</x:v>
      </x:c>
      <x:c r="I174" s="7" t="str">
        <x:v>MSA07</x:v>
      </x:c>
      <x:c r="J174" s="8" t="str"/>
    </x:row>
    <x:row r="175" ht="116" customHeight="1">
      <x:c r="A175" s="7" t="str">
        <x:v>D21</x:v>
      </x:c>
      <x:c r="B175" s="7" t="str">
        <x:v>changed</x:v>
      </x:c>
      <x:c r="C175" s="7" t="str">
        <x:v>C</x:v>
      </x:c>
      <x:c r="D175" s="7" t="str">
        <x:v>Continue an isolated chase.</x:v>
      </x:c>
      <x:c r="E175" s="7" t="str">
        <x:v>misread</x:v>
      </x:c>
      <x:c r="F175" s="7" t="str">
        <x:v>This risks losing the relationship we are trying to preserve: Continue an isolated chase.</x:v>
      </x:c>
      <x:c r="G175" s="7" t="str">
        <x:v>Review pause only; no speculative failure animation.</x:v>
      </x:c>
      <x:c r="H175" s="7" t="str">
        <x:v>Counterpress only with reachable ball and cover.</x:v>
      </x:c>
      <x:c r="I175" s="7" t="str">
        <x:v>MSA07</x:v>
      </x:c>
      <x:c r="J175" s="8" t="str"/>
    </x:row>
    <x:row r="176" ht="116" customHeight="1">
      <x:c r="A176" s="7" t="str">
        <x:v>D21</x:v>
      </x:c>
      <x:c r="B176" s="7" t="str">
        <x:v>changed</x:v>
      </x:c>
      <x:c r="C176" s="7" t="str">
        <x:v>D</x:v>
      </x:c>
      <x:c r="D176" s="7" t="str">
        <x:v>Pause, scan and communicate before committing</x:v>
      </x:c>
      <x:c r="E176" s="7" t="str">
        <x:v>acceptable</x:v>
      </x:c>
      <x:c r="F176" s="7" t="str">
        <x:v>Scanning is useful, but reassess before the opportunity disappears.</x:v>
      </x:c>
      <x:c r="G176" s="7" t="str">
        <x:v>Review pause only; no speculative failure animation.</x:v>
      </x:c>
      <x:c r="H176" s="7" t="str">
        <x:v>Counterpress only with reachable ball and cover.</x:v>
      </x:c>
      <x:c r="I176" s="7" t="str">
        <x:v>MSA07</x:v>
      </x:c>
      <x:c r="J176" s="8" t="str"/>
    </x:row>
    <x:row r="177" ht="116" customHeight="1">
      <x:c r="A177" s="7" t="str">
        <x:v>D22</x:v>
      </x:c>
      <x:c r="B177" s="7" t="str">
        <x:v>base</x:v>
      </x:c>
      <x:c r="C177" s="7" t="str">
        <x:v>A</x:v>
      </x:c>
      <x:c r="D177" s="7" t="str">
        <x:v>Approach from the inside</x:v>
      </x:c>
      <x:c r="E177" s="7" t="str">
        <x:v>preferred</x:v>
      </x:c>
      <x:c r="F177" s="7" t="str">
        <x:v>Read the original cue: Pass travels toward opposing outside back.</x:v>
      </x:c>
      <x:c r="G177" s="7" t="str">
        <x:v>Illustrative endpoint for this option; no guaranteed goal, turnover or calibrated travel time.</x:v>
      </x:c>
      <x:c r="H177" s="7" t="str">
        <x:v>Approach while covering the inside route.</x:v>
      </x:c>
      <x:c r="I177" s="7" t="str">
        <x:v>MSA08</x:v>
      </x:c>
      <x:c r="J177" s="8" t="str"/>
    </x:row>
    <x:row r="178" ht="116" customHeight="1">
      <x:c r="A178" s="7" t="str">
        <x:v>D22</x:v>
      </x:c>
      <x:c r="B178" s="7" t="str">
        <x:v>base</x:v>
      </x:c>
      <x:c r="C178" s="7" t="str">
        <x:v>B</x:v>
      </x:c>
      <x:c r="D178" s="7" t="str">
        <x:v>Hold a connected position</x:v>
      </x:c>
      <x:c r="E178" s="7" t="str">
        <x:v>acceptable</x:v>
      </x:c>
      <x:c r="F178" s="7" t="str">
        <x:v>Read the original cue: Pass travels toward opposing outside back.</x:v>
      </x:c>
      <x:c r="G178" s="7" t="str">
        <x:v>Illustrative endpoint for this option; no guaranteed goal, turnover or calibrated travel time.</x:v>
      </x:c>
      <x:c r="H178" s="7" t="str">
        <x:v>Approach while covering the inside route.</x:v>
      </x:c>
      <x:c r="I178" s="7" t="str">
        <x:v>MSA08</x:v>
      </x:c>
      <x:c r="J178" s="8" t="str"/>
    </x:row>
    <x:row r="179" ht="116" customHeight="1">
      <x:c r="A179" s="7" t="str">
        <x:v>D22</x:v>
      </x:c>
      <x:c r="B179" s="7" t="str">
        <x:v>base</x:v>
      </x:c>
      <x:c r="C179" s="7" t="str">
        <x:v>C</x:v>
      </x:c>
      <x:c r="D179" s="7" t="str">
        <x:v>Press before the pass and expose inside.</x:v>
      </x:c>
      <x:c r="E179" s="7" t="str">
        <x:v>misread</x:v>
      </x:c>
      <x:c r="F179" s="7" t="str">
        <x:v>This risks losing the relationship we are trying to preserve: Press before the pass and expose inside.</x:v>
      </x:c>
      <x:c r="G179" s="7" t="str">
        <x:v>Review pause only; no speculative failure animation.</x:v>
      </x:c>
      <x:c r="H179" s="7" t="str">
        <x:v>Approach while covering the inside route.</x:v>
      </x:c>
      <x:c r="I179" s="7" t="str">
        <x:v>MSA08</x:v>
      </x:c>
      <x:c r="J179" s="8" t="str"/>
    </x:row>
    <x:row r="180" ht="116" customHeight="1">
      <x:c r="A180" s="7" t="str">
        <x:v>D22</x:v>
      </x:c>
      <x:c r="B180" s="7" t="str">
        <x:v>base</x:v>
      </x:c>
      <x:c r="C180" s="7" t="str">
        <x:v>D</x:v>
      </x:c>
      <x:c r="D180" s="7" t="str">
        <x:v>Pause, scan and communicate before committing</x:v>
      </x:c>
      <x:c r="E180" s="7" t="str">
        <x:v>acceptable</x:v>
      </x:c>
      <x:c r="F180" s="7" t="str">
        <x:v>Scanning is useful, but reassess before the opportunity disappears.</x:v>
      </x:c>
      <x:c r="G180" s="7" t="str">
        <x:v>Review pause only; no speculative failure animation.</x:v>
      </x:c>
      <x:c r="H180" s="7" t="str">
        <x:v>Approach while covering the inside route.</x:v>
      </x:c>
      <x:c r="I180" s="7" t="str">
        <x:v>MSA08</x:v>
      </x:c>
      <x:c r="J180" s="8" t="str"/>
    </x:row>
    <x:row r="181" ht="116" customHeight="1">
      <x:c r="A181" s="7" t="str">
        <x:v>D22</x:v>
      </x:c>
      <x:c r="B181" s="7" t="str">
        <x:v>changed</x:v>
      </x:c>
      <x:c r="C181" s="7" t="str">
        <x:v>A</x:v>
      </x:c>
      <x:c r="D181" s="7" t="str">
        <x:v>Approach from the inside</x:v>
      </x:c>
      <x:c r="E181" s="7" t="str">
        <x:v>acceptable</x:v>
      </x:c>
      <x:c r="F181" s="7" t="str">
        <x:v>Read the changed cue: Your inside support is detached; do not launch an isolated chase.</x:v>
      </x:c>
      <x:c r="G181" s="7" t="str">
        <x:v>Illustrative endpoint for this option; no guaranteed goal, turnover or calibrated travel time.</x:v>
      </x:c>
      <x:c r="H181" s="7" t="str">
        <x:v>Hold if teammate cannot support.</x:v>
      </x:c>
      <x:c r="I181" s="7" t="str">
        <x:v>MSA08</x:v>
      </x:c>
      <x:c r="J181" s="8" t="str"/>
    </x:row>
    <x:row r="182" ht="116" customHeight="1">
      <x:c r="A182" s="7" t="str">
        <x:v>D22</x:v>
      </x:c>
      <x:c r="B182" s="7" t="str">
        <x:v>changed</x:v>
      </x:c>
      <x:c r="C182" s="7" t="str">
        <x:v>B</x:v>
      </x:c>
      <x:c r="D182" s="7" t="str">
        <x:v>Hold a connected position</x:v>
      </x:c>
      <x:c r="E182" s="7" t="str">
        <x:v>preferred</x:v>
      </x:c>
      <x:c r="F182" s="7" t="str">
        <x:v>Read the changed cue: Your inside support is detached; do not launch an isolated chase.</x:v>
      </x:c>
      <x:c r="G182" s="7" t="str">
        <x:v>Illustrative endpoint for this option; no guaranteed goal, turnover or calibrated travel time.</x:v>
      </x:c>
      <x:c r="H182" s="7" t="str">
        <x:v>Hold if teammate cannot support.</x:v>
      </x:c>
      <x:c r="I182" s="7" t="str">
        <x:v>MSA08</x:v>
      </x:c>
      <x:c r="J182" s="8" t="str"/>
    </x:row>
    <x:row r="183" ht="116" customHeight="1">
      <x:c r="A183" s="7" t="str">
        <x:v>D22</x:v>
      </x:c>
      <x:c r="B183" s="7" t="str">
        <x:v>changed</x:v>
      </x:c>
      <x:c r="C183" s="7" t="str">
        <x:v>C</x:v>
      </x:c>
      <x:c r="D183" s="7" t="str">
        <x:v>Press before the pass and expose inside.</x:v>
      </x:c>
      <x:c r="E183" s="7" t="str">
        <x:v>misread</x:v>
      </x:c>
      <x:c r="F183" s="7" t="str">
        <x:v>This risks losing the relationship we are trying to preserve: Press before the pass and expose inside.</x:v>
      </x:c>
      <x:c r="G183" s="7" t="str">
        <x:v>Review pause only; no speculative failure animation.</x:v>
      </x:c>
      <x:c r="H183" s="7" t="str">
        <x:v>Hold if teammate cannot support.</x:v>
      </x:c>
      <x:c r="I183" s="7" t="str">
        <x:v>MSA08</x:v>
      </x:c>
      <x:c r="J183" s="8" t="str"/>
    </x:row>
    <x:row r="184" ht="116" customHeight="1">
      <x:c r="A184" s="7" t="str">
        <x:v>D22</x:v>
      </x:c>
      <x:c r="B184" s="7" t="str">
        <x:v>changed</x:v>
      </x:c>
      <x:c r="C184" s="7" t="str">
        <x:v>D</x:v>
      </x:c>
      <x:c r="D184" s="7" t="str">
        <x:v>Pause, scan and communicate before committing</x:v>
      </x:c>
      <x:c r="E184" s="7" t="str">
        <x:v>acceptable</x:v>
      </x:c>
      <x:c r="F184" s="7" t="str">
        <x:v>Scanning is useful, but reassess before the opportunity disappears.</x:v>
      </x:c>
      <x:c r="G184" s="7" t="str">
        <x:v>Review pause only; no speculative failure animation.</x:v>
      </x:c>
      <x:c r="H184" s="7" t="str">
        <x:v>Hold if teammate cannot support.</x:v>
      </x:c>
      <x:c r="I184" s="7" t="str">
        <x:v>MSA08</x:v>
      </x:c>
      <x:c r="J184" s="8" t="str"/>
    </x:row>
    <x:row r="185" ht="116" customHeight="1">
      <x:c r="A185" s="7" t="str">
        <x:v>D23</x:v>
      </x:c>
      <x:c r="B185" s="7" t="str">
        <x:v>base</x:v>
      </x:c>
      <x:c r="C185" s="7" t="str">
        <x:v>A</x:v>
      </x:c>
      <x:c r="D185" s="7" t="str">
        <x:v>Tuck toward the central outlet</x:v>
      </x:c>
      <x:c r="E185" s="7" t="str">
        <x:v>preferred</x:v>
      </x:c>
      <x:c r="F185" s="7" t="str">
        <x:v>Read the original cue: Ball is on the far side; central outlet is unmarked.</x:v>
      </x:c>
      <x:c r="G185" s="7" t="str">
        <x:v>Illustrative endpoint for this option; no guaranteed goal, turnover or calibrated travel time.</x:v>
      </x:c>
      <x:c r="H185" s="7" t="str">
        <x:v>Tuck toward the outlet.</x:v>
      </x:c>
      <x:c r="I185" s="7" t="str">
        <x:v>MSA08</x:v>
      </x:c>
      <x:c r="J185" s="8" t="str"/>
    </x:row>
    <x:row r="186" ht="116" customHeight="1">
      <x:c r="A186" s="7" t="str">
        <x:v>D23</x:v>
      </x:c>
      <x:c r="B186" s="7" t="str">
        <x:v>base</x:v>
      </x:c>
      <x:c r="C186" s="7" t="str">
        <x:v>B</x:v>
      </x:c>
      <x:c r="D186" s="7" t="str">
        <x:v>Shift outward with the switch</x:v>
      </x:c>
      <x:c r="E186" s="7" t="str">
        <x:v>acceptable</x:v>
      </x:c>
      <x:c r="F186" s="7" t="str">
        <x:v>Read the original cue: Ball is on the far side; central outlet is unmarked.</x:v>
      </x:c>
      <x:c r="G186" s="7" t="str">
        <x:v>Illustrative endpoint for this option; no guaranteed goal, turnover or calibrated travel time.</x:v>
      </x:c>
      <x:c r="H186" s="7" t="str">
        <x:v>Tuck toward the outlet.</x:v>
      </x:c>
      <x:c r="I186" s="7" t="str">
        <x:v>MSA08</x:v>
      </x:c>
      <x:c r="J186" s="8" t="str"/>
    </x:row>
    <x:row r="187" ht="116" customHeight="1">
      <x:c r="A187" s="7" t="str">
        <x:v>D23</x:v>
      </x:c>
      <x:c r="B187" s="7" t="str">
        <x:v>base</x:v>
      </x:c>
      <x:c r="C187" s="7" t="str">
        <x:v>C</x:v>
      </x:c>
      <x:c r="D187" s="7" t="str">
        <x:v>Stand disconnected on touchline.</x:v>
      </x:c>
      <x:c r="E187" s="7" t="str">
        <x:v>misread</x:v>
      </x:c>
      <x:c r="F187" s="7" t="str">
        <x:v>This risks losing the relationship we are trying to preserve: Stand disconnected on touchline.</x:v>
      </x:c>
      <x:c r="G187" s="7" t="str">
        <x:v>Review pause only; no speculative failure animation.</x:v>
      </x:c>
      <x:c r="H187" s="7" t="str">
        <x:v>Tuck toward the outlet.</x:v>
      </x:c>
      <x:c r="I187" s="7" t="str">
        <x:v>MSA08</x:v>
      </x:c>
      <x:c r="J187" s="8" t="str"/>
    </x:row>
    <x:row r="188" ht="116" customHeight="1">
      <x:c r="A188" s="7" t="str">
        <x:v>D23</x:v>
      </x:c>
      <x:c r="B188" s="7" t="str">
        <x:v>base</x:v>
      </x:c>
      <x:c r="C188" s="7" t="str">
        <x:v>D</x:v>
      </x:c>
      <x:c r="D188" s="7" t="str">
        <x:v>Pause, scan and communicate before committing</x:v>
      </x:c>
      <x:c r="E188" s="7" t="str">
        <x:v>acceptable</x:v>
      </x:c>
      <x:c r="F188" s="7" t="str">
        <x:v>Scanning is useful, but reassess before the opportunity disappears.</x:v>
      </x:c>
      <x:c r="G188" s="7" t="str">
        <x:v>Review pause only; no speculative failure animation.</x:v>
      </x:c>
      <x:c r="H188" s="7" t="str">
        <x:v>Tuck toward the outlet.</x:v>
      </x:c>
      <x:c r="I188" s="7" t="str">
        <x:v>MSA08</x:v>
      </x:c>
      <x:c r="J188" s="8" t="str"/>
    </x:row>
    <x:row r="189" ht="116" customHeight="1">
      <x:c r="A189" s="7" t="str">
        <x:v>D23</x:v>
      </x:c>
      <x:c r="B189" s="7" t="str">
        <x:v>changed</x:v>
      </x:c>
      <x:c r="C189" s="7" t="str">
        <x:v>A</x:v>
      </x:c>
      <x:c r="D189" s="7" t="str">
        <x:v>Tuck toward the central outlet</x:v>
      </x:c>
      <x:c r="E189" s="7" t="str">
        <x:v>acceptable</x:v>
      </x:c>
      <x:c r="F189" s="7" t="str">
        <x:v>Read the changed cue: The ball has switched to the opposite outside back; move as the new ball-side winger.</x:v>
      </x:c>
      <x:c r="G189" s="7" t="str">
        <x:v>Illustrative endpoint for this option; no guaranteed goal, turnover or calibrated travel time.</x:v>
      </x:c>
      <x:c r="H189" s="7" t="str">
        <x:v>Expand when the switch becomes playable.</x:v>
      </x:c>
      <x:c r="I189" s="7" t="str">
        <x:v>MSA08</x:v>
      </x:c>
      <x:c r="J189" s="8" t="str"/>
    </x:row>
    <x:row r="190" ht="116" customHeight="1">
      <x:c r="A190" s="7" t="str">
        <x:v>D23</x:v>
      </x:c>
      <x:c r="B190" s="7" t="str">
        <x:v>changed</x:v>
      </x:c>
      <x:c r="C190" s="7" t="str">
        <x:v>B</x:v>
      </x:c>
      <x:c r="D190" s="7" t="str">
        <x:v>Shift outward with the switch</x:v>
      </x:c>
      <x:c r="E190" s="7" t="str">
        <x:v>preferred</x:v>
      </x:c>
      <x:c r="F190" s="7" t="str">
        <x:v>Read the changed cue: The ball has switched to the opposite outside back; move as the new ball-side winger.</x:v>
      </x:c>
      <x:c r="G190" s="7" t="str">
        <x:v>Illustrative endpoint for this option; no guaranteed goal, turnover or calibrated travel time.</x:v>
      </x:c>
      <x:c r="H190" s="7" t="str">
        <x:v>Expand when the switch becomes playable.</x:v>
      </x:c>
      <x:c r="I190" s="7" t="str">
        <x:v>MSA08</x:v>
      </x:c>
      <x:c r="J190" s="8" t="str"/>
    </x:row>
    <x:row r="191" ht="116" customHeight="1">
      <x:c r="A191" s="7" t="str">
        <x:v>D23</x:v>
      </x:c>
      <x:c r="B191" s="7" t="str">
        <x:v>changed</x:v>
      </x:c>
      <x:c r="C191" s="7" t="str">
        <x:v>C</x:v>
      </x:c>
      <x:c r="D191" s="7" t="str">
        <x:v>Stand disconnected on touchline.</x:v>
      </x:c>
      <x:c r="E191" s="7" t="str">
        <x:v>misread</x:v>
      </x:c>
      <x:c r="F191" s="7" t="str">
        <x:v>This risks losing the relationship we are trying to preserve: Stand disconnected on touchline.</x:v>
      </x:c>
      <x:c r="G191" s="7" t="str">
        <x:v>Review pause only; no speculative failure animation.</x:v>
      </x:c>
      <x:c r="H191" s="7" t="str">
        <x:v>Expand when the switch becomes playable.</x:v>
      </x:c>
      <x:c r="I191" s="7" t="str">
        <x:v>MSA08</x:v>
      </x:c>
      <x:c r="J191" s="8" t="str"/>
    </x:row>
    <x:row r="192" ht="116" customHeight="1">
      <x:c r="A192" s="7" t="str">
        <x:v>D23</x:v>
      </x:c>
      <x:c r="B192" s="7" t="str">
        <x:v>changed</x:v>
      </x:c>
      <x:c r="C192" s="7" t="str">
        <x:v>D</x:v>
      </x:c>
      <x:c r="D192" s="7" t="str">
        <x:v>Pause, scan and communicate before committing</x:v>
      </x:c>
      <x:c r="E192" s="7" t="str">
        <x:v>acceptable</x:v>
      </x:c>
      <x:c r="F192" s="7" t="str">
        <x:v>Scanning is useful, but reassess before the opportunity disappears.</x:v>
      </x:c>
      <x:c r="G192" s="7" t="str">
        <x:v>Review pause only; no speculative failure animation.</x:v>
      </x:c>
      <x:c r="H192" s="7" t="str">
        <x:v>Expand when the switch becomes playable.</x:v>
      </x:c>
      <x:c r="I192" s="7" t="str">
        <x:v>MSA08</x:v>
      </x:c>
      <x:c r="J192" s="8" t="str"/>
    </x:row>
    <x:row r="193" ht="116" customHeight="1">
      <x:c r="A193" s="7" t="str">
        <x:v>D24</x:v>
      </x:c>
      <x:c r="B193" s="7" t="str">
        <x:v>base</x:v>
      </x:c>
      <x:c r="C193" s="7" t="str">
        <x:v>A</x:v>
      </x:c>
      <x:c r="D193" s="7" t="str">
        <x:v>Close the return route</x:v>
      </x:c>
      <x:c r="E193" s="7" t="str">
        <x:v>preferred</x:v>
      </x:c>
      <x:c r="F193" s="7" t="str">
        <x:v>Read the original cue: Winger is now the first presser.</x:v>
      </x:c>
      <x:c r="G193" s="7" t="str">
        <x:v>Illustrative endpoint for this option; no guaranteed goal, turnover or calibrated travel time.</x:v>
      </x:c>
      <x:c r="H193" s="7" t="str">
        <x:v>Close the return/central escape route.</x:v>
      </x:c>
      <x:c r="I193" s="7" t="str">
        <x:v>MSA08</x:v>
      </x:c>
      <x:c r="J193" s="8" t="str"/>
    </x:row>
    <x:row r="194" ht="116" customHeight="1">
      <x:c r="A194" s="7" t="str">
        <x:v>D24</x:v>
      </x:c>
      <x:c r="B194" s="7" t="str">
        <x:v>base</x:v>
      </x:c>
      <x:c r="C194" s="7" t="str">
        <x:v>B</x:v>
      </x:c>
      <x:c r="D194" s="7" t="str">
        <x:v>Take pressure after the handoff</x:v>
      </x:c>
      <x:c r="E194" s="7" t="str">
        <x:v>acceptable</x:v>
      </x:c>
      <x:c r="F194" s="7" t="str">
        <x:v>Read the original cue: Winger is now the first presser.</x:v>
      </x:c>
      <x:c r="G194" s="7" t="str">
        <x:v>Illustrative endpoint for this option; no guaranteed goal, turnover or calibrated travel time.</x:v>
      </x:c>
      <x:c r="H194" s="7" t="str">
        <x:v>Close the return/central escape route.</x:v>
      </x:c>
      <x:c r="I194" s="7" t="str">
        <x:v>MSA08</x:v>
      </x:c>
      <x:c r="J194" s="8" t="str"/>
    </x:row>
    <x:row r="195" ht="116" customHeight="1">
      <x:c r="A195" s="7" t="str">
        <x:v>D24</x:v>
      </x:c>
      <x:c r="B195" s="7" t="str">
        <x:v>base</x:v>
      </x:c>
      <x:c r="C195" s="7" t="str">
        <x:v>C</x:v>
      </x:c>
      <x:c r="D195" s="7" t="str">
        <x:v>Duplicate the winger’s approach.</x:v>
      </x:c>
      <x:c r="E195" s="7" t="str">
        <x:v>misread</x:v>
      </x:c>
      <x:c r="F195" s="7" t="str">
        <x:v>This risks losing the relationship we are trying to preserve: Duplicate the winger’s approach.</x:v>
      </x:c>
      <x:c r="G195" s="7" t="str">
        <x:v>Review pause only; no speculative failure animation.</x:v>
      </x:c>
      <x:c r="H195" s="7" t="str">
        <x:v>Close the return/central escape route.</x:v>
      </x:c>
      <x:c r="I195" s="7" t="str">
        <x:v>MSA08</x:v>
      </x:c>
      <x:c r="J195" s="8" t="str"/>
    </x:row>
    <x:row r="196" ht="116" customHeight="1">
      <x:c r="A196" s="7" t="str">
        <x:v>D24</x:v>
      </x:c>
      <x:c r="B196" s="7" t="str">
        <x:v>base</x:v>
      </x:c>
      <x:c r="C196" s="7" t="str">
        <x:v>D</x:v>
      </x:c>
      <x:c r="D196" s="7" t="str">
        <x:v>Pause, scan and communicate before committing</x:v>
      </x:c>
      <x:c r="E196" s="7" t="str">
        <x:v>acceptable</x:v>
      </x:c>
      <x:c r="F196" s="7" t="str">
        <x:v>Scanning is useful, but reassess before the opportunity disappears.</x:v>
      </x:c>
      <x:c r="G196" s="7" t="str">
        <x:v>Review pause only; no speculative failure animation.</x:v>
      </x:c>
      <x:c r="H196" s="7" t="str">
        <x:v>Close the return/central escape route.</x:v>
      </x:c>
      <x:c r="I196" s="7" t="str">
        <x:v>MSA08</x:v>
      </x:c>
      <x:c r="J196" s="8" t="str"/>
    </x:row>
    <x:row r="197" ht="116" customHeight="1">
      <x:c r="A197" s="7" t="str">
        <x:v>D24</x:v>
      </x:c>
      <x:c r="B197" s="7" t="str">
        <x:v>changed</x:v>
      </x:c>
      <x:c r="C197" s="7" t="str">
        <x:v>A</x:v>
      </x:c>
      <x:c r="D197" s="7" t="str">
        <x:v>Close the return route</x:v>
      </x:c>
      <x:c r="E197" s="7" t="str">
        <x:v>acceptable</x:v>
      </x:c>
      <x:c r="F197" s="7" t="str">
        <x:v>Read the changed cue: The carrier escapes inside the winger; the striker is now the closest available presser.</x:v>
      </x:c>
      <x:c r="G197" s="7" t="str">
        <x:v>Illustrative endpoint for this option; no guaranteed goal, turnover or calibrated travel time.</x:v>
      </x:c>
      <x:c r="H197" s="7" t="str">
        <x:v>Press carrier after agreed handoff.</x:v>
      </x:c>
      <x:c r="I197" s="7" t="str">
        <x:v>MSA08</x:v>
      </x:c>
      <x:c r="J197" s="8" t="str"/>
    </x:row>
    <x:row r="198" ht="116" customHeight="1">
      <x:c r="A198" s="7" t="str">
        <x:v>D24</x:v>
      </x:c>
      <x:c r="B198" s="7" t="str">
        <x:v>changed</x:v>
      </x:c>
      <x:c r="C198" s="7" t="str">
        <x:v>B</x:v>
      </x:c>
      <x:c r="D198" s="7" t="str">
        <x:v>Take pressure after the handoff</x:v>
      </x:c>
      <x:c r="E198" s="7" t="str">
        <x:v>preferred</x:v>
      </x:c>
      <x:c r="F198" s="7" t="str">
        <x:v>Read the changed cue: The carrier escapes inside the winger; the striker is now the closest available presser.</x:v>
      </x:c>
      <x:c r="G198" s="7" t="str">
        <x:v>Illustrative endpoint for this option; no guaranteed goal, turnover or calibrated travel time.</x:v>
      </x:c>
      <x:c r="H198" s="7" t="str">
        <x:v>Press carrier after agreed handoff.</x:v>
      </x:c>
      <x:c r="I198" s="7" t="str">
        <x:v>MSA08</x:v>
      </x:c>
      <x:c r="J198" s="8" t="str"/>
    </x:row>
    <x:row r="199" ht="116" customHeight="1">
      <x:c r="A199" s="7" t="str">
        <x:v>D24</x:v>
      </x:c>
      <x:c r="B199" s="7" t="str">
        <x:v>changed</x:v>
      </x:c>
      <x:c r="C199" s="7" t="str">
        <x:v>C</x:v>
      </x:c>
      <x:c r="D199" s="7" t="str">
        <x:v>Duplicate the winger’s approach.</x:v>
      </x:c>
      <x:c r="E199" s="7" t="str">
        <x:v>misread</x:v>
      </x:c>
      <x:c r="F199" s="7" t="str">
        <x:v>This risks losing the relationship we are trying to preserve: Duplicate the winger’s approach.</x:v>
      </x:c>
      <x:c r="G199" s="7" t="str">
        <x:v>Review pause only; no speculative failure animation.</x:v>
      </x:c>
      <x:c r="H199" s="7" t="str">
        <x:v>Press carrier after agreed handoff.</x:v>
      </x:c>
      <x:c r="I199" s="7" t="str">
        <x:v>MSA08</x:v>
      </x:c>
      <x:c r="J199" s="8" t="str"/>
    </x:row>
    <x:row r="200" ht="116" customHeight="1">
      <x:c r="A200" s="7" t="str">
        <x:v>D24</x:v>
      </x:c>
      <x:c r="B200" s="7" t="str">
        <x:v>changed</x:v>
      </x:c>
      <x:c r="C200" s="7" t="str">
        <x:v>D</x:v>
      </x:c>
      <x:c r="D200" s="7" t="str">
        <x:v>Pause, scan and communicate before committing</x:v>
      </x:c>
      <x:c r="E200" s="7" t="str">
        <x:v>acceptable</x:v>
      </x:c>
      <x:c r="F200" s="7" t="str">
        <x:v>Scanning is useful, but reassess before the opportunity disappears.</x:v>
      </x:c>
      <x:c r="G200" s="7" t="str">
        <x:v>Review pause only; no speculative failure animation.</x:v>
      </x:c>
      <x:c r="H200" s="7" t="str">
        <x:v>Press carrier after agreed handoff.</x:v>
      </x:c>
      <x:c r="I200" s="7" t="str">
        <x:v>MSA08</x:v>
      </x:c>
      <x:c r="J200" s="8" t="str"/>
    </x:row>
    <x:row r="201" ht="116" customHeight="1">
      <x:c r="A201" s="7" t="str">
        <x:v>D25</x:v>
      </x:c>
      <x:c r="B201" s="7" t="str">
        <x:v>base</x:v>
      </x:c>
      <x:c r="C201" s="7" t="str">
        <x:v>A</x:v>
      </x:c>
      <x:c r="D201" s="7" t="str">
        <x:v>Apply controlled pressure</x:v>
      </x:c>
      <x:c r="E201" s="7" t="str">
        <x:v>preferred</x:v>
      </x:c>
      <x:c r="F201" s="7" t="str">
        <x:v>Read the original cue: You can reach carrier; CB provides cover.</x:v>
      </x:c>
      <x:c r="G201" s="7" t="str">
        <x:v>Illustrative endpoint for this option; no guaranteed goal, turnover or calibrated travel time.</x:v>
      </x:c>
      <x:c r="H201" s="7" t="str">
        <x:v>Pressure without overcommitting.</x:v>
      </x:c>
      <x:c r="I201" s="7" t="str">
        <x:v>MSA09</x:v>
      </x:c>
      <x:c r="J201" s="8" t="str"/>
    </x:row>
    <x:row r="202" ht="116" customHeight="1">
      <x:c r="A202" s="7" t="str">
        <x:v>D25</x:v>
      </x:c>
      <x:c r="B202" s="7" t="str">
        <x:v>base</x:v>
      </x:c>
      <x:c r="C202" s="7" t="str">
        <x:v>B</x:v>
      </x:c>
      <x:c r="D202" s="7" t="str">
        <x:v>Delay while protecting inside</x:v>
      </x:c>
      <x:c r="E202" s="7" t="str">
        <x:v>acceptable</x:v>
      </x:c>
      <x:c r="F202" s="7" t="str">
        <x:v>Read the original cue: You can reach carrier; CB provides cover.</x:v>
      </x:c>
      <x:c r="G202" s="7" t="str">
        <x:v>Illustrative endpoint for this option; no guaranteed goal, turnover or calibrated travel time.</x:v>
      </x:c>
      <x:c r="H202" s="7" t="str">
        <x:v>Pressure without overcommitting.</x:v>
      </x:c>
      <x:c r="I202" s="7" t="str">
        <x:v>MSA09</x:v>
      </x:c>
      <x:c r="J202" s="8" t="str"/>
    </x:row>
    <x:row r="203" ht="116" customHeight="1">
      <x:c r="A203" s="7" t="str">
        <x:v>D25</x:v>
      </x:c>
      <x:c r="B203" s="7" t="str">
        <x:v>base</x:v>
      </x:c>
      <x:c r="C203" s="7" t="str">
        <x:v>C</x:v>
      </x:c>
      <x:c r="D203" s="7" t="str">
        <x:v>Dive in at full speed.</x:v>
      </x:c>
      <x:c r="E203" s="7" t="str">
        <x:v>misread</x:v>
      </x:c>
      <x:c r="F203" s="7" t="str">
        <x:v>This risks losing the relationship we are trying to preserve: Dive in at full speed.</x:v>
      </x:c>
      <x:c r="G203" s="7" t="str">
        <x:v>Review pause only; no speculative failure animation.</x:v>
      </x:c>
      <x:c r="H203" s="7" t="str">
        <x:v>Pressure without overcommitting.</x:v>
      </x:c>
      <x:c r="I203" s="7" t="str">
        <x:v>MSA09</x:v>
      </x:c>
      <x:c r="J203" s="8" t="str"/>
    </x:row>
    <x:row r="204" ht="116" customHeight="1">
      <x:c r="A204" s="7" t="str">
        <x:v>D25</x:v>
      </x:c>
      <x:c r="B204" s="7" t="str">
        <x:v>base</x:v>
      </x:c>
      <x:c r="C204" s="7" t="str">
        <x:v>D</x:v>
      </x:c>
      <x:c r="D204" s="7" t="str">
        <x:v>Pause, scan and communicate before committing</x:v>
      </x:c>
      <x:c r="E204" s="7" t="str">
        <x:v>acceptable</x:v>
      </x:c>
      <x:c r="F204" s="7" t="str">
        <x:v>Scanning is useful, but reassess before the opportunity disappears.</x:v>
      </x:c>
      <x:c r="G204" s="7" t="str">
        <x:v>Review pause only; no speculative failure animation.</x:v>
      </x:c>
      <x:c r="H204" s="7" t="str">
        <x:v>Pressure without overcommitting.</x:v>
      </x:c>
      <x:c r="I204" s="7" t="str">
        <x:v>MSA09</x:v>
      </x:c>
      <x:c r="J204" s="8" t="str"/>
    </x:row>
    <x:row r="205" ht="116" customHeight="1">
      <x:c r="A205" s="7" t="str">
        <x:v>D25</x:v>
      </x:c>
      <x:c r="B205" s="7" t="str">
        <x:v>changed</x:v>
      </x:c>
      <x:c r="C205" s="7" t="str">
        <x:v>A</x:v>
      </x:c>
      <x:c r="D205" s="7" t="str">
        <x:v>Apply controlled pressure</x:v>
      </x:c>
      <x:c r="E205" s="7" t="str">
        <x:v>acceptable</x:v>
      </x:c>
      <x:c r="F205" s="7" t="str">
        <x:v>Read the changed cue: Central cover is farther away; do not commit beyond your ability to recover.</x:v>
      </x:c>
      <x:c r="G205" s="7" t="str">
        <x:v>Illustrative endpoint for this option; no guaranteed goal, turnover or calibrated travel time.</x:v>
      </x:c>
      <x:c r="H205" s="7" t="str">
        <x:v>Delay if cover disappears.</x:v>
      </x:c>
      <x:c r="I205" s="7" t="str">
        <x:v>MSA09</x:v>
      </x:c>
      <x:c r="J205" s="8" t="str"/>
    </x:row>
    <x:row r="206" ht="116" customHeight="1">
      <x:c r="A206" s="7" t="str">
        <x:v>D25</x:v>
      </x:c>
      <x:c r="B206" s="7" t="str">
        <x:v>changed</x:v>
      </x:c>
      <x:c r="C206" s="7" t="str">
        <x:v>B</x:v>
      </x:c>
      <x:c r="D206" s="7" t="str">
        <x:v>Delay while protecting inside</x:v>
      </x:c>
      <x:c r="E206" s="7" t="str">
        <x:v>preferred</x:v>
      </x:c>
      <x:c r="F206" s="7" t="str">
        <x:v>Read the changed cue: Central cover is farther away; do not commit beyond your ability to recover.</x:v>
      </x:c>
      <x:c r="G206" s="7" t="str">
        <x:v>Illustrative endpoint for this option; no guaranteed goal, turnover or calibrated travel time.</x:v>
      </x:c>
      <x:c r="H206" s="7" t="str">
        <x:v>Delay if cover disappears.</x:v>
      </x:c>
      <x:c r="I206" s="7" t="str">
        <x:v>MSA09</x:v>
      </x:c>
      <x:c r="J206" s="8" t="str"/>
    </x:row>
    <x:row r="207" ht="116" customHeight="1">
      <x:c r="A207" s="7" t="str">
        <x:v>D25</x:v>
      </x:c>
      <x:c r="B207" s="7" t="str">
        <x:v>changed</x:v>
      </x:c>
      <x:c r="C207" s="7" t="str">
        <x:v>C</x:v>
      </x:c>
      <x:c r="D207" s="7" t="str">
        <x:v>Dive in at full speed.</x:v>
      </x:c>
      <x:c r="E207" s="7" t="str">
        <x:v>misread</x:v>
      </x:c>
      <x:c r="F207" s="7" t="str">
        <x:v>This risks losing the relationship we are trying to preserve: Dive in at full speed.</x:v>
      </x:c>
      <x:c r="G207" s="7" t="str">
        <x:v>Review pause only; no speculative failure animation.</x:v>
      </x:c>
      <x:c r="H207" s="7" t="str">
        <x:v>Delay if cover disappears.</x:v>
      </x:c>
      <x:c r="I207" s="7" t="str">
        <x:v>MSA09</x:v>
      </x:c>
      <x:c r="J207" s="8" t="str"/>
    </x:row>
    <x:row r="208" ht="116" customHeight="1">
      <x:c r="A208" s="7" t="str">
        <x:v>D25</x:v>
      </x:c>
      <x:c r="B208" s="7" t="str">
        <x:v>changed</x:v>
      </x:c>
      <x:c r="C208" s="7" t="str">
        <x:v>D</x:v>
      </x:c>
      <x:c r="D208" s="7" t="str">
        <x:v>Pause, scan and communicate before committing</x:v>
      </x:c>
      <x:c r="E208" s="7" t="str">
        <x:v>acceptable</x:v>
      </x:c>
      <x:c r="F208" s="7" t="str">
        <x:v>Scanning is useful, but reassess before the opportunity disappears.</x:v>
      </x:c>
      <x:c r="G208" s="7" t="str">
        <x:v>Review pause only; no speculative failure animation.</x:v>
      </x:c>
      <x:c r="H208" s="7" t="str">
        <x:v>Delay if cover disappears.</x:v>
      </x:c>
      <x:c r="I208" s="7" t="str">
        <x:v>MSA09</x:v>
      </x:c>
      <x:c r="J208" s="8" t="str"/>
    </x:row>
    <x:row r="209" ht="116" customHeight="1">
      <x:c r="A209" s="7" t="str">
        <x:v>D26</x:v>
      </x:c>
      <x:c r="B209" s="7" t="str">
        <x:v>base</x:v>
      </x:c>
      <x:c r="C209" s="7" t="str">
        <x:v>A</x:v>
      </x:c>
      <x:c r="D209" s="7" t="str">
        <x:v>Keep diagonal cover</x:v>
      </x:c>
      <x:c r="E209" s="7" t="str">
        <x:v>preferred</x:v>
      </x:c>
      <x:c r="F209" s="7" t="str">
        <x:v>Read the original cue: Outside back pressures; second attacker threatens inside.</x:v>
      </x:c>
      <x:c r="G209" s="7" t="str">
        <x:v>Illustrative endpoint for this option; no guaranteed goal, turnover or calibrated travel time.</x:v>
      </x:c>
      <x:c r="H209" s="7" t="str">
        <x:v>Cover both penetration and runner.</x:v>
      </x:c>
      <x:c r="I209" s="7" t="str">
        <x:v>MSA09</x:v>
      </x:c>
      <x:c r="J209" s="8" t="str"/>
    </x:row>
    <x:row r="210" ht="116" customHeight="1">
      <x:c r="A210" s="7" t="str">
        <x:v>D26</x:v>
      </x:c>
      <x:c r="B210" s="7" t="str">
        <x:v>base</x:v>
      </x:c>
      <x:c r="C210" s="7" t="str">
        <x:v>B</x:v>
      </x:c>
      <x:c r="D210" s="7" t="str">
        <x:v>Take over first pressure</x:v>
      </x:c>
      <x:c r="E210" s="7" t="str">
        <x:v>acceptable</x:v>
      </x:c>
      <x:c r="F210" s="7" t="str">
        <x:v>Read the original cue: Outside back pressures; second attacker threatens inside.</x:v>
      </x:c>
      <x:c r="G210" s="7" t="str">
        <x:v>Illustrative endpoint for this option; no guaranteed goal, turnover or calibrated travel time.</x:v>
      </x:c>
      <x:c r="H210" s="7" t="str">
        <x:v>Cover both penetration and runner.</x:v>
      </x:c>
      <x:c r="I210" s="7" t="str">
        <x:v>MSA09</x:v>
      </x:c>
      <x:c r="J210" s="8" t="str"/>
    </x:row>
    <x:row r="211" ht="116" customHeight="1">
      <x:c r="A211" s="7" t="str">
        <x:v>D26</x:v>
      </x:c>
      <x:c r="B211" s="7" t="str">
        <x:v>base</x:v>
      </x:c>
      <x:c r="C211" s="7" t="str">
        <x:v>C</x:v>
      </x:c>
      <x:c r="D211" s="7" t="str">
        <x:v>Stand level with the first defender.</x:v>
      </x:c>
      <x:c r="E211" s="7" t="str">
        <x:v>misread</x:v>
      </x:c>
      <x:c r="F211" s="7" t="str">
        <x:v>This risks losing the relationship we are trying to preserve: Stand level with the first defender.</x:v>
      </x:c>
      <x:c r="G211" s="7" t="str">
        <x:v>Review pause only; no speculative failure animation.</x:v>
      </x:c>
      <x:c r="H211" s="7" t="str">
        <x:v>Cover both penetration and runner.</x:v>
      </x:c>
      <x:c r="I211" s="7" t="str">
        <x:v>MSA09</x:v>
      </x:c>
      <x:c r="J211" s="8" t="str"/>
    </x:row>
    <x:row r="212" ht="116" customHeight="1">
      <x:c r="A212" s="7" t="str">
        <x:v>D26</x:v>
      </x:c>
      <x:c r="B212" s="7" t="str">
        <x:v>base</x:v>
      </x:c>
      <x:c r="C212" s="7" t="str">
        <x:v>D</x:v>
      </x:c>
      <x:c r="D212" s="7" t="str">
        <x:v>Pause, scan and communicate before committing</x:v>
      </x:c>
      <x:c r="E212" s="7" t="str">
        <x:v>acceptable</x:v>
      </x:c>
      <x:c r="F212" s="7" t="str">
        <x:v>Scanning is useful, but reassess before the opportunity disappears.</x:v>
      </x:c>
      <x:c r="G212" s="7" t="str">
        <x:v>Review pause only; no speculative failure animation.</x:v>
      </x:c>
      <x:c r="H212" s="7" t="str">
        <x:v>Cover both penetration and runner.</x:v>
      </x:c>
      <x:c r="I212" s="7" t="str">
        <x:v>MSA09</x:v>
      </x:c>
      <x:c r="J212" s="8" t="str"/>
    </x:row>
    <x:row r="213" ht="116" customHeight="1">
      <x:c r="A213" s="7" t="str">
        <x:v>D26</x:v>
      </x:c>
      <x:c r="B213" s="7" t="str">
        <x:v>changed</x:v>
      </x:c>
      <x:c r="C213" s="7" t="str">
        <x:v>A</x:v>
      </x:c>
      <x:c r="D213" s="7" t="str">
        <x:v>Keep diagonal cover</x:v>
      </x:c>
      <x:c r="E213" s="7" t="str">
        <x:v>misread</x:v>
      </x:c>
      <x:c r="F213" s="7" t="str">
        <x:v>This action is not supported by the current cue. The outside back has been beaten; become first defender with RB covering inside.</x:v>
      </x:c>
      <x:c r="G213" s="7" t="str">
        <x:v>Freeze for explanation; do not illustrate a successful outcome for an unavailable action.</x:v>
      </x:c>
      <x:c r="H213" s="7" t="str">
        <x:v>Step only when the first defender is beaten.</x:v>
      </x:c>
      <x:c r="I213" s="7" t="str">
        <x:v>MSA09</x:v>
      </x:c>
      <x:c r="J213" s="8" t="str"/>
    </x:row>
    <x:row r="214" ht="116" customHeight="1">
      <x:c r="A214" s="7" t="str">
        <x:v>D26</x:v>
      </x:c>
      <x:c r="B214" s="7" t="str">
        <x:v>changed</x:v>
      </x:c>
      <x:c r="C214" s="7" t="str">
        <x:v>B</x:v>
      </x:c>
      <x:c r="D214" s="7" t="str">
        <x:v>Take over first pressure</x:v>
      </x:c>
      <x:c r="E214" s="7" t="str">
        <x:v>preferred</x:v>
      </x:c>
      <x:c r="F214" s="7" t="str">
        <x:v>Read the changed cue: The outside back has been beaten; become first defender with RB covering inside.</x:v>
      </x:c>
      <x:c r="G214" s="7" t="str">
        <x:v>Illustrative endpoint for this option; no guaranteed goal, turnover or calibrated travel time.</x:v>
      </x:c>
      <x:c r="H214" s="7" t="str">
        <x:v>Step only when the first defender is beaten.</x:v>
      </x:c>
      <x:c r="I214" s="7" t="str">
        <x:v>MSA09</x:v>
      </x:c>
      <x:c r="J214" s="8" t="str"/>
    </x:row>
    <x:row r="215" ht="116" customHeight="1">
      <x:c r="A215" s="7" t="str">
        <x:v>D26</x:v>
      </x:c>
      <x:c r="B215" s="7" t="str">
        <x:v>changed</x:v>
      </x:c>
      <x:c r="C215" s="7" t="str">
        <x:v>C</x:v>
      </x:c>
      <x:c r="D215" s="7" t="str">
        <x:v>Stand level with the first defender.</x:v>
      </x:c>
      <x:c r="E215" s="7" t="str">
        <x:v>misread</x:v>
      </x:c>
      <x:c r="F215" s="7" t="str">
        <x:v>This risks losing the relationship we are trying to preserve: Stand level with the first defender.</x:v>
      </x:c>
      <x:c r="G215" s="7" t="str">
        <x:v>Review pause only; no speculative failure animation.</x:v>
      </x:c>
      <x:c r="H215" s="7" t="str">
        <x:v>Step only when the first defender is beaten.</x:v>
      </x:c>
      <x:c r="I215" s="7" t="str">
        <x:v>MSA09</x:v>
      </x:c>
      <x:c r="J215" s="8" t="str"/>
    </x:row>
    <x:row r="216" ht="116" customHeight="1">
      <x:c r="A216" s="7" t="str">
        <x:v>D26</x:v>
      </x:c>
      <x:c r="B216" s="7" t="str">
        <x:v>changed</x:v>
      </x:c>
      <x:c r="C216" s="7" t="str">
        <x:v>D</x:v>
      </x:c>
      <x:c r="D216" s="7" t="str">
        <x:v>Pause, scan and communicate before committing</x:v>
      </x:c>
      <x:c r="E216" s="7" t="str">
        <x:v>acceptable</x:v>
      </x:c>
      <x:c r="F216" s="7" t="str">
        <x:v>Scanning is useful, but reassess before the opportunity disappears.</x:v>
      </x:c>
      <x:c r="G216" s="7" t="str">
        <x:v>Review pause only; no speculative failure animation.</x:v>
      </x:c>
      <x:c r="H216" s="7" t="str">
        <x:v>Step only when the first defender is beaten.</x:v>
      </x:c>
      <x:c r="I216" s="7" t="str">
        <x:v>MSA09</x:v>
      </x:c>
      <x:c r="J216" s="8" t="str"/>
    </x:row>
    <x:row r="217" ht="116" customHeight="1">
      <x:c r="A217" s="7" t="str">
        <x:v>D27</x:v>
      </x:c>
      <x:c r="B217" s="7" t="str">
        <x:v>base</x:v>
      </x:c>
      <x:c r="C217" s="7" t="str">
        <x:v>A</x:v>
      </x:c>
      <x:c r="D217" s="7" t="str">
        <x:v>Take controlled pressure</x:v>
      </x:c>
      <x:c r="E217" s="7" t="str">
        <x:v>preferred</x:v>
      </x:c>
      <x:c r="F217" s="7" t="str">
        <x:v>Read the original cue: Pass shifts across your defensive pair.</x:v>
      </x:c>
      <x:c r="G217" s="7" t="str">
        <x:v>Illustrative endpoint for this option; no guaranteed goal, turnover or calibrated travel time.</x:v>
      </x:c>
      <x:c r="H217" s="7" t="str">
        <x:v>Take pressure as partner drops to cover.</x:v>
      </x:c>
      <x:c r="I217" s="7" t="str">
        <x:v>MSA09</x:v>
      </x:c>
      <x:c r="J217" s="8" t="str"/>
    </x:row>
    <x:row r="218" ht="116" customHeight="1">
      <x:c r="A218" s="7" t="str">
        <x:v>D27</x:v>
      </x:c>
      <x:c r="B218" s="7" t="str">
        <x:v>base</x:v>
      </x:c>
      <x:c r="C218" s="7" t="str">
        <x:v>B</x:v>
      </x:c>
      <x:c r="D218" s="7" t="str">
        <x:v>Delay and reconnect</x:v>
      </x:c>
      <x:c r="E218" s="7" t="str">
        <x:v>acceptable</x:v>
      </x:c>
      <x:c r="F218" s="7" t="str">
        <x:v>Read the original cue: Pass shifts across your defensive pair.</x:v>
      </x:c>
      <x:c r="G218" s="7" t="str">
        <x:v>Illustrative endpoint for this option; no guaranteed goal, turnover or calibrated travel time.</x:v>
      </x:c>
      <x:c r="H218" s="7" t="str">
        <x:v>Take pressure as partner drops to cover.</x:v>
      </x:c>
      <x:c r="I218" s="7" t="str">
        <x:v>MSA09</x:v>
      </x:c>
      <x:c r="J218" s="8" t="str"/>
    </x:row>
    <x:row r="219" ht="116" customHeight="1">
      <x:c r="A219" s="7" t="str">
        <x:v>D27</x:v>
      </x:c>
      <x:c r="B219" s="7" t="str">
        <x:v>base</x:v>
      </x:c>
      <x:c r="C219" s="7" t="str">
        <x:v>C</x:v>
      </x:c>
      <x:c r="D219" s="7" t="str">
        <x:v>Both pursue the same receiver.</x:v>
      </x:c>
      <x:c r="E219" s="7" t="str">
        <x:v>misread</x:v>
      </x:c>
      <x:c r="F219" s="7" t="str">
        <x:v>This risks losing the relationship we are trying to preserve: Both pursue the same receiver.</x:v>
      </x:c>
      <x:c r="G219" s="7" t="str">
        <x:v>Review pause only; no speculative failure animation.</x:v>
      </x:c>
      <x:c r="H219" s="7" t="str">
        <x:v>Take pressure as partner drops to cover.</x:v>
      </x:c>
      <x:c r="I219" s="7" t="str">
        <x:v>MSA09</x:v>
      </x:c>
      <x:c r="J219" s="8" t="str"/>
    </x:row>
    <x:row r="220" ht="116" customHeight="1">
      <x:c r="A220" s="7" t="str">
        <x:v>D27</x:v>
      </x:c>
      <x:c r="B220" s="7" t="str">
        <x:v>base</x:v>
      </x:c>
      <x:c r="C220" s="7" t="str">
        <x:v>D</x:v>
      </x:c>
      <x:c r="D220" s="7" t="str">
        <x:v>Pause, scan and communicate before committing</x:v>
      </x:c>
      <x:c r="E220" s="7" t="str">
        <x:v>acceptable</x:v>
      </x:c>
      <x:c r="F220" s="7" t="str">
        <x:v>Scanning is useful, but reassess before the opportunity disappears.</x:v>
      </x:c>
      <x:c r="G220" s="7" t="str">
        <x:v>Review pause only; no speculative failure animation.</x:v>
      </x:c>
      <x:c r="H220" s="7" t="str">
        <x:v>Take pressure as partner drops to cover.</x:v>
      </x:c>
      <x:c r="I220" s="7" t="str">
        <x:v>MSA09</x:v>
      </x:c>
      <x:c r="J220" s="8" t="str"/>
    </x:row>
    <x:row r="221" ht="116" customHeight="1">
      <x:c r="A221" s="7" t="str">
        <x:v>D27</x:v>
      </x:c>
      <x:c r="B221" s="7" t="str">
        <x:v>changed</x:v>
      </x:c>
      <x:c r="C221" s="7" t="str">
        <x:v>A</x:v>
      </x:c>
      <x:c r="D221" s="7" t="str">
        <x:v>Take controlled pressure</x:v>
      </x:c>
      <x:c r="E221" s="7" t="str">
        <x:v>acceptable</x:v>
      </x:c>
      <x:c r="F221" s="7" t="str">
        <x:v>Read the changed cue: The receiver is now much farther away; protect the space while your unit shifts.</x:v>
      </x:c>
      <x:c r="G221" s="7" t="str">
        <x:v>Illustrative endpoint for this option; no guaranteed goal, turnover or calibrated travel time.</x:v>
      </x:c>
      <x:c r="H221" s="7" t="str">
        <x:v>Delay if the receiver is too far away.</x:v>
      </x:c>
      <x:c r="I221" s="7" t="str">
        <x:v>MSA09</x:v>
      </x:c>
      <x:c r="J221" s="8" t="str"/>
    </x:row>
    <x:row r="222" ht="116" customHeight="1">
      <x:c r="A222" s="7" t="str">
        <x:v>D27</x:v>
      </x:c>
      <x:c r="B222" s="7" t="str">
        <x:v>changed</x:v>
      </x:c>
      <x:c r="C222" s="7" t="str">
        <x:v>B</x:v>
      </x:c>
      <x:c r="D222" s="7" t="str">
        <x:v>Delay and reconnect</x:v>
      </x:c>
      <x:c r="E222" s="7" t="str">
        <x:v>preferred</x:v>
      </x:c>
      <x:c r="F222" s="7" t="str">
        <x:v>Read the changed cue: The receiver is now much farther away; protect the space while your unit shifts.</x:v>
      </x:c>
      <x:c r="G222" s="7" t="str">
        <x:v>Illustrative endpoint for this option; no guaranteed goal, turnover or calibrated travel time.</x:v>
      </x:c>
      <x:c r="H222" s="7" t="str">
        <x:v>Delay if the receiver is too far away.</x:v>
      </x:c>
      <x:c r="I222" s="7" t="str">
        <x:v>MSA09</x:v>
      </x:c>
      <x:c r="J222" s="8" t="str"/>
    </x:row>
    <x:row r="223" ht="116" customHeight="1">
      <x:c r="A223" s="7" t="str">
        <x:v>D27</x:v>
      </x:c>
      <x:c r="B223" s="7" t="str">
        <x:v>changed</x:v>
      </x:c>
      <x:c r="C223" s="7" t="str">
        <x:v>C</x:v>
      </x:c>
      <x:c r="D223" s="7" t="str">
        <x:v>Both pursue the same receiver.</x:v>
      </x:c>
      <x:c r="E223" s="7" t="str">
        <x:v>misread</x:v>
      </x:c>
      <x:c r="F223" s="7" t="str">
        <x:v>This risks losing the relationship we are trying to preserve: Both pursue the same receiver.</x:v>
      </x:c>
      <x:c r="G223" s="7" t="str">
        <x:v>Review pause only; no speculative failure animation.</x:v>
      </x:c>
      <x:c r="H223" s="7" t="str">
        <x:v>Delay if the receiver is too far away.</x:v>
      </x:c>
      <x:c r="I223" s="7" t="str">
        <x:v>MSA09</x:v>
      </x:c>
      <x:c r="J223" s="8" t="str"/>
    </x:row>
    <x:row r="224" ht="116" customHeight="1">
      <x:c r="A224" s="7" t="str">
        <x:v>D27</x:v>
      </x:c>
      <x:c r="B224" s="7" t="str">
        <x:v>changed</x:v>
      </x:c>
      <x:c r="C224" s="7" t="str">
        <x:v>D</x:v>
      </x:c>
      <x:c r="D224" s="7" t="str">
        <x:v>Pause, scan and communicate before committing</x:v>
      </x:c>
      <x:c r="E224" s="7" t="str">
        <x:v>acceptable</x:v>
      </x:c>
      <x:c r="F224" s="7" t="str">
        <x:v>Scanning is useful, but reassess before the opportunity disappears.</x:v>
      </x:c>
      <x:c r="G224" s="7" t="str">
        <x:v>Review pause only; no speculative failure animation.</x:v>
      </x:c>
      <x:c r="H224" s="7" t="str">
        <x:v>Delay if the receiver is too far away.</x:v>
      </x:c>
      <x:c r="I224" s="7" t="str">
        <x:v>MSA09</x:v>
      </x:c>
      <x:c r="J224" s="8" t="str"/>
    </x:row>
    <x:row r="225" ht="116" customHeight="1">
      <x:c r="A225" s="7" t="str">
        <x:v>D28</x:v>
      </x:c>
      <x:c r="B225" s="7" t="str">
        <x:v>base</x:v>
      </x:c>
      <x:c r="C225" s="7" t="str">
        <x:v>A</x:v>
      </x:c>
      <x:c r="D225" s="7" t="str">
        <x:v>Shift and screen forward access</x:v>
      </x:c>
      <x:c r="E225" s="7" t="str">
        <x:v>preferred</x:v>
      </x:c>
      <x:c r="F225" s="7" t="str">
        <x:v>Read the original cue: Ball moves sideways across the block.</x:v>
      </x:c>
      <x:c r="G225" s="7" t="str">
        <x:v>Illustrative endpoint for this option; no guaranteed goal, turnover or calibrated travel time.</x:v>
      </x:c>
      <x:c r="H225" s="7" t="str">
        <x:v>Shift while screening forward access.</x:v>
      </x:c>
      <x:c r="I225" s="7" t="str">
        <x:v>MSA10</x:v>
      </x:c>
      <x:c r="J225" s="8" t="str"/>
    </x:row>
    <x:row r="226" ht="116" customHeight="1">
      <x:c r="A226" s="7" t="str">
        <x:v>D28</x:v>
      </x:c>
      <x:c r="B226" s="7" t="str">
        <x:v>base</x:v>
      </x:c>
      <x:c r="C226" s="7" t="str">
        <x:v>B</x:v>
      </x:c>
      <x:c r="D226" s="7" t="str">
        <x:v>Step to a reachable loose ball</x:v>
      </x:c>
      <x:c r="E226" s="7" t="str">
        <x:v>misread</x:v>
      </x:c>
      <x:c r="F226" s="7" t="str">
        <x:v>This action is not supported by the current cue. Ball moves sideways across the block.</x:v>
      </x:c>
      <x:c r="G226" s="7" t="str">
        <x:v>Freeze for explanation; do not illustrate a successful outcome for an unavailable action.</x:v>
      </x:c>
      <x:c r="H226" s="7" t="str">
        <x:v>Shift while screening forward access.</x:v>
      </x:c>
      <x:c r="I226" s="7" t="str">
        <x:v>MSA10</x:v>
      </x:c>
      <x:c r="J226" s="8" t="str"/>
    </x:row>
    <x:row r="227" ht="116" customHeight="1">
      <x:c r="A227" s="7" t="str">
        <x:v>D28</x:v>
      </x:c>
      <x:c r="B227" s="7" t="str">
        <x:v>base</x:v>
      </x:c>
      <x:c r="C227" s="7" t="str">
        <x:v>C</x:v>
      </x:c>
      <x:c r="D227" s="7" t="str">
        <x:v>Open the center by chasing wide.</x:v>
      </x:c>
      <x:c r="E227" s="7" t="str">
        <x:v>misread</x:v>
      </x:c>
      <x:c r="F227" s="7" t="str">
        <x:v>This risks losing the relationship we are trying to preserve: Open the center by chasing wide.</x:v>
      </x:c>
      <x:c r="G227" s="7" t="str">
        <x:v>Review pause only; no speculative failure animation.</x:v>
      </x:c>
      <x:c r="H227" s="7" t="str">
        <x:v>Shift while screening forward access.</x:v>
      </x:c>
      <x:c r="I227" s="7" t="str">
        <x:v>MSA10</x:v>
      </x:c>
      <x:c r="J227" s="8" t="str"/>
    </x:row>
    <x:row r="228" ht="116" customHeight="1">
      <x:c r="A228" s="7" t="str">
        <x:v>D28</x:v>
      </x:c>
      <x:c r="B228" s="7" t="str">
        <x:v>base</x:v>
      </x:c>
      <x:c r="C228" s="7" t="str">
        <x:v>D</x:v>
      </x:c>
      <x:c r="D228" s="7" t="str">
        <x:v>Pause, scan and communicate before committing</x:v>
      </x:c>
      <x:c r="E228" s="7" t="str">
        <x:v>acceptable</x:v>
      </x:c>
      <x:c r="F228" s="7" t="str">
        <x:v>Scanning is useful, but reassess before the opportunity disappears.</x:v>
      </x:c>
      <x:c r="G228" s="7" t="str">
        <x:v>Review pause only; no speculative failure animation.</x:v>
      </x:c>
      <x:c r="H228" s="7" t="str">
        <x:v>Shift while screening forward access.</x:v>
      </x:c>
      <x:c r="I228" s="7" t="str">
        <x:v>MSA10</x:v>
      </x:c>
      <x:c r="J228" s="8" t="str"/>
    </x:row>
    <x:row r="229" ht="116" customHeight="1">
      <x:c r="A229" s="7" t="str">
        <x:v>D28</x:v>
      </x:c>
      <x:c r="B229" s="7" t="str">
        <x:v>changed</x:v>
      </x:c>
      <x:c r="C229" s="7" t="str">
        <x:v>A</x:v>
      </x:c>
      <x:c r="D229" s="7" t="str">
        <x:v>Shift and screen forward access</x:v>
      </x:c>
      <x:c r="E229" s="7" t="str">
        <x:v>acceptable</x:v>
      </x:c>
      <x:c r="F229" s="7" t="str">
        <x:v>Read the changed cue: A loose touch enters your reach and the center back provides cover.</x:v>
      </x:c>
      <x:c r="G229" s="7" t="str">
        <x:v>Illustrative endpoint for this option; no guaranteed goal, turnover or calibrated travel time.</x:v>
      </x:c>
      <x:c r="H229" s="7" t="str">
        <x:v>Step if ball becomes reachable with cover.</x:v>
      </x:c>
      <x:c r="I229" s="7" t="str">
        <x:v>MSA10</x:v>
      </x:c>
      <x:c r="J229" s="8" t="str"/>
    </x:row>
    <x:row r="230" ht="116" customHeight="1">
      <x:c r="A230" s="7" t="str">
        <x:v>D28</x:v>
      </x:c>
      <x:c r="B230" s="7" t="str">
        <x:v>changed</x:v>
      </x:c>
      <x:c r="C230" s="7" t="str">
        <x:v>B</x:v>
      </x:c>
      <x:c r="D230" s="7" t="str">
        <x:v>Step to a reachable loose ball</x:v>
      </x:c>
      <x:c r="E230" s="7" t="str">
        <x:v>preferred</x:v>
      </x:c>
      <x:c r="F230" s="7" t="str">
        <x:v>Read the changed cue: A loose touch enters your reach and the center back provides cover.</x:v>
      </x:c>
      <x:c r="G230" s="7" t="str">
        <x:v>Illustrative endpoint for this option; no guaranteed goal, turnover or calibrated travel time.</x:v>
      </x:c>
      <x:c r="H230" s="7" t="str">
        <x:v>Step if ball becomes reachable with cover.</x:v>
      </x:c>
      <x:c r="I230" s="7" t="str">
        <x:v>MSA10</x:v>
      </x:c>
      <x:c r="J230" s="8" t="str"/>
    </x:row>
    <x:row r="231" ht="116" customHeight="1">
      <x:c r="A231" s="7" t="str">
        <x:v>D28</x:v>
      </x:c>
      <x:c r="B231" s="7" t="str">
        <x:v>changed</x:v>
      </x:c>
      <x:c r="C231" s="7" t="str">
        <x:v>C</x:v>
      </x:c>
      <x:c r="D231" s="7" t="str">
        <x:v>Open the center by chasing wide.</x:v>
      </x:c>
      <x:c r="E231" s="7" t="str">
        <x:v>misread</x:v>
      </x:c>
      <x:c r="F231" s="7" t="str">
        <x:v>This risks losing the relationship we are trying to preserve: Open the center by chasing wide.</x:v>
      </x:c>
      <x:c r="G231" s="7" t="str">
        <x:v>Review pause only; no speculative failure animation.</x:v>
      </x:c>
      <x:c r="H231" s="7" t="str">
        <x:v>Step if ball becomes reachable with cover.</x:v>
      </x:c>
      <x:c r="I231" s="7" t="str">
        <x:v>MSA10</x:v>
      </x:c>
      <x:c r="J231" s="8" t="str"/>
    </x:row>
    <x:row r="232" ht="116" customHeight="1">
      <x:c r="A232" s="7" t="str">
        <x:v>D28</x:v>
      </x:c>
      <x:c r="B232" s="7" t="str">
        <x:v>changed</x:v>
      </x:c>
      <x:c r="C232" s="7" t="str">
        <x:v>D</x:v>
      </x:c>
      <x:c r="D232" s="7" t="str">
        <x:v>Pause, scan and communicate before committing</x:v>
      </x:c>
      <x:c r="E232" s="7" t="str">
        <x:v>acceptable</x:v>
      </x:c>
      <x:c r="F232" s="7" t="str">
        <x:v>Scanning is useful, but reassess before the opportunity disappears.</x:v>
      </x:c>
      <x:c r="G232" s="7" t="str">
        <x:v>Review pause only; no speculative failure animation.</x:v>
      </x:c>
      <x:c r="H232" s="7" t="str">
        <x:v>Step if ball becomes reachable with cover.</x:v>
      </x:c>
      <x:c r="I232" s="7" t="str">
        <x:v>MSA10</x:v>
      </x:c>
      <x:c r="J232" s="8" t="str"/>
    </x:row>
    <x:row r="233" ht="116" customHeight="1">
      <x:c r="A233" s="7" t="str">
        <x:v>D29</x:v>
      </x:c>
      <x:c r="B233" s="7" t="str">
        <x:v>base</x:v>
      </x:c>
      <x:c r="C233" s="7" t="str">
        <x:v>A</x:v>
      </x:c>
      <x:c r="D233" s="7" t="str">
        <x:v>Protect central depth</x:v>
      </x:c>
      <x:c r="E233" s="7" t="str">
        <x:v>preferred</x:v>
      </x:c>
      <x:c r="F233" s="7" t="str">
        <x:v>Read the original cue: Midfielder steps; space opens behind.</x:v>
      </x:c>
      <x:c r="G233" s="7" t="str">
        <x:v>Illustrative endpoint for this option; no guaranteed goal, turnover or calibrated travel time.</x:v>
      </x:c>
      <x:c r="H233" s="7" t="str">
        <x:v>Protect the central depth.</x:v>
      </x:c>
      <x:c r="I233" s="7" t="str">
        <x:v>MSA10</x:v>
      </x:c>
      <x:c r="J233" s="8" t="str"/>
    </x:row>
    <x:row r="234" ht="116" customHeight="1">
      <x:c r="A234" s="7" t="str">
        <x:v>D29</x:v>
      </x:c>
      <x:c r="B234" s="7" t="str">
        <x:v>base</x:v>
      </x:c>
      <x:c r="C234" s="7" t="str">
        <x:v>B</x:v>
      </x:c>
      <x:c r="D234" s="7" t="str">
        <x:v>Step with the connected unit</x:v>
      </x:c>
      <x:c r="E234" s="7" t="str">
        <x:v>acceptable</x:v>
      </x:c>
      <x:c r="F234" s="7" t="str">
        <x:v>Read the original cue: Midfielder steps; space opens behind.</x:v>
      </x:c>
      <x:c r="G234" s="7" t="str">
        <x:v>Illustrative endpoint for this option; no guaranteed goal, turnover or calibrated travel time.</x:v>
      </x:c>
      <x:c r="H234" s="7" t="str">
        <x:v>Protect the central depth.</x:v>
      </x:c>
      <x:c r="I234" s="7" t="str">
        <x:v>MSA10</x:v>
      </x:c>
      <x:c r="J234" s="8" t="str"/>
    </x:row>
    <x:row r="235" ht="116" customHeight="1">
      <x:c r="A235" s="7" t="str">
        <x:v>D29</x:v>
      </x:c>
      <x:c r="B235" s="7" t="str">
        <x:v>base</x:v>
      </x:c>
      <x:c r="C235" s="7" t="str">
        <x:v>C</x:v>
      </x:c>
      <x:c r="D235" s="7" t="str">
        <x:v>Follow blindly and expose goal.</x:v>
      </x:c>
      <x:c r="E235" s="7" t="str">
        <x:v>misread</x:v>
      </x:c>
      <x:c r="F235" s="7" t="str">
        <x:v>This risks losing the relationship we are trying to preserve: Follow blindly and expose goal.</x:v>
      </x:c>
      <x:c r="G235" s="7" t="str">
        <x:v>Review pause only; no speculative failure animation.</x:v>
      </x:c>
      <x:c r="H235" s="7" t="str">
        <x:v>Protect the central depth.</x:v>
      </x:c>
      <x:c r="I235" s="7" t="str">
        <x:v>MSA10</x:v>
      </x:c>
      <x:c r="J235" s="8" t="str"/>
    </x:row>
    <x:row r="236" ht="116" customHeight="1">
      <x:c r="A236" s="7" t="str">
        <x:v>D29</x:v>
      </x:c>
      <x:c r="B236" s="7" t="str">
        <x:v>base</x:v>
      </x:c>
      <x:c r="C236" s="7" t="str">
        <x:v>D</x:v>
      </x:c>
      <x:c r="D236" s="7" t="str">
        <x:v>Pause, scan and communicate before committing</x:v>
      </x:c>
      <x:c r="E236" s="7" t="str">
        <x:v>acceptable</x:v>
      </x:c>
      <x:c r="F236" s="7" t="str">
        <x:v>Scanning is useful, but reassess before the opportunity disappears.</x:v>
      </x:c>
      <x:c r="G236" s="7" t="str">
        <x:v>Review pause only; no speculative failure animation.</x:v>
      </x:c>
      <x:c r="H236" s="7" t="str">
        <x:v>Protect the central depth.</x:v>
      </x:c>
      <x:c r="I236" s="7" t="str">
        <x:v>MSA10</x:v>
      </x:c>
      <x:c r="J236" s="8" t="str"/>
    </x:row>
    <x:row r="237" ht="116" customHeight="1">
      <x:c r="A237" s="7" t="str">
        <x:v>D29</x:v>
      </x:c>
      <x:c r="B237" s="7" t="str">
        <x:v>changed</x:v>
      </x:c>
      <x:c r="C237" s="7" t="str">
        <x:v>A</x:v>
      </x:c>
      <x:c r="D237" s="7" t="str">
        <x:v>Protect central depth</x:v>
      </x:c>
      <x:c r="E237" s="7" t="str">
        <x:v>acceptable</x:v>
      </x:c>
      <x:c r="F237" s="7" t="str">
        <x:v>Read the changed cue: The midfielder has closed the ball; advance only while forward delivery remains prevented.</x:v>
      </x:c>
      <x:c r="G237" s="7" t="str">
        <x:v>Illustrative endpoint for this option; no guaranteed goal, turnover or calibrated travel time.</x:v>
      </x:c>
      <x:c r="H237" s="7" t="str">
        <x:v>Step with unit if pressure prevents a forward pass.</x:v>
      </x:c>
      <x:c r="I237" s="7" t="str">
        <x:v>MSA10</x:v>
      </x:c>
      <x:c r="J237" s="8" t="str"/>
    </x:row>
    <x:row r="238" ht="116" customHeight="1">
      <x:c r="A238" s="7" t="str">
        <x:v>D29</x:v>
      </x:c>
      <x:c r="B238" s="7" t="str">
        <x:v>changed</x:v>
      </x:c>
      <x:c r="C238" s="7" t="str">
        <x:v>B</x:v>
      </x:c>
      <x:c r="D238" s="7" t="str">
        <x:v>Step with the connected unit</x:v>
      </x:c>
      <x:c r="E238" s="7" t="str">
        <x:v>preferred</x:v>
      </x:c>
      <x:c r="F238" s="7" t="str">
        <x:v>Read the changed cue: The midfielder has closed the ball; advance only while forward delivery remains prevented.</x:v>
      </x:c>
      <x:c r="G238" s="7" t="str">
        <x:v>Illustrative endpoint for this option; no guaranteed goal, turnover or calibrated travel time.</x:v>
      </x:c>
      <x:c r="H238" s="7" t="str">
        <x:v>Step with unit if pressure prevents a forward pass.</x:v>
      </x:c>
      <x:c r="I238" s="7" t="str">
        <x:v>MSA10</x:v>
      </x:c>
      <x:c r="J238" s="8" t="str"/>
    </x:row>
    <x:row r="239" ht="116" customHeight="1">
      <x:c r="A239" s="7" t="str">
        <x:v>D29</x:v>
      </x:c>
      <x:c r="B239" s="7" t="str">
        <x:v>changed</x:v>
      </x:c>
      <x:c r="C239" s="7" t="str">
        <x:v>C</x:v>
      </x:c>
      <x:c r="D239" s="7" t="str">
        <x:v>Follow blindly and expose goal.</x:v>
      </x:c>
      <x:c r="E239" s="7" t="str">
        <x:v>misread</x:v>
      </x:c>
      <x:c r="F239" s="7" t="str">
        <x:v>This risks losing the relationship we are trying to preserve: Follow blindly and expose goal.</x:v>
      </x:c>
      <x:c r="G239" s="7" t="str">
        <x:v>Review pause only; no speculative failure animation.</x:v>
      </x:c>
      <x:c r="H239" s="7" t="str">
        <x:v>Step with unit if pressure prevents a forward pass.</x:v>
      </x:c>
      <x:c r="I239" s="7" t="str">
        <x:v>MSA10</x:v>
      </x:c>
      <x:c r="J239" s="8" t="str"/>
    </x:row>
    <x:row r="240" ht="116" customHeight="1">
      <x:c r="A240" s="7" t="str">
        <x:v>D29</x:v>
      </x:c>
      <x:c r="B240" s="7" t="str">
        <x:v>changed</x:v>
      </x:c>
      <x:c r="C240" s="7" t="str">
        <x:v>D</x:v>
      </x:c>
      <x:c r="D240" s="7" t="str">
        <x:v>Pause, scan and communicate before committing</x:v>
      </x:c>
      <x:c r="E240" s="7" t="str">
        <x:v>acceptable</x:v>
      </x:c>
      <x:c r="F240" s="7" t="str">
        <x:v>Scanning is useful, but reassess before the opportunity disappears.</x:v>
      </x:c>
      <x:c r="G240" s="7" t="str">
        <x:v>Review pause only; no speculative failure animation.</x:v>
      </x:c>
      <x:c r="H240" s="7" t="str">
        <x:v>Step with unit if pressure prevents a forward pass.</x:v>
      </x:c>
      <x:c r="I240" s="7" t="str">
        <x:v>MSA10</x:v>
      </x:c>
      <x:c r="J240" s="8" t="str"/>
    </x:row>
    <x:row r="241" ht="116" customHeight="1">
      <x:c r="A241" s="7" t="str">
        <x:v>D30</x:v>
      </x:c>
      <x:c r="B241" s="7" t="str">
        <x:v>base</x:v>
      </x:c>
      <x:c r="C241" s="7" t="str">
        <x:v>A</x:v>
      </x:c>
      <x:c r="D241" s="7" t="str">
        <x:v>Recover into midfield</x:v>
      </x:c>
      <x:c r="E241" s="7" t="str">
        <x:v>preferred</x:v>
      </x:c>
      <x:c r="F241" s="7" t="str">
        <x:v>Read the original cue: Opponent receives facing forward beyond pressure.</x:v>
      </x:c>
      <x:c r="G241" s="7" t="str">
        <x:v>Illustrative endpoint for this option; no guaranteed goal, turnover or calibrated travel time.</x:v>
      </x:c>
      <x:c r="H241" s="7" t="str">
        <x:v>Recover into a connected midfield line.</x:v>
      </x:c>
      <x:c r="I241" s="7" t="str">
        <x:v>MSA10</x:v>
      </x:c>
      <x:c r="J241" s="8" t="str"/>
    </x:row>
    <x:row r="242" ht="116" customHeight="1">
      <x:c r="A242" s="7" t="str">
        <x:v>D30</x:v>
      </x:c>
      <x:c r="B242" s="7" t="str">
        <x:v>base</x:v>
      </x:c>
      <x:c r="C242" s="7" t="str">
        <x:v>B</x:v>
      </x:c>
      <x:c r="D242" s="7" t="str">
        <x:v>Press the trapped receiver</x:v>
      </x:c>
      <x:c r="E242" s="7" t="str">
        <x:v>acceptable</x:v>
      </x:c>
      <x:c r="F242" s="7" t="str">
        <x:v>Read the original cue: Opponent receives facing forward beyond pressure.</x:v>
      </x:c>
      <x:c r="G242" s="7" t="str">
        <x:v>Illustrative endpoint for this option; no guaranteed goal, turnover or calibrated travel time.</x:v>
      </x:c>
      <x:c r="H242" s="7" t="str">
        <x:v>Recover into a connected midfield line.</x:v>
      </x:c>
      <x:c r="I242" s="7" t="str">
        <x:v>MSA10</x:v>
      </x:c>
      <x:c r="J242" s="8" t="str"/>
    </x:row>
    <x:row r="243" ht="116" customHeight="1">
      <x:c r="A243" s="7" t="str">
        <x:v>D30</x:v>
      </x:c>
      <x:c r="B243" s="7" t="str">
        <x:v>base</x:v>
      </x:c>
      <x:c r="C243" s="7" t="str">
        <x:v>C</x:v>
      </x:c>
      <x:c r="D243" s="7" t="str">
        <x:v>Remain ahead of the ball.</x:v>
      </x:c>
      <x:c r="E243" s="7" t="str">
        <x:v>misread</x:v>
      </x:c>
      <x:c r="F243" s="7" t="str">
        <x:v>This risks losing the relationship we are trying to preserve: Remain ahead of the ball.</x:v>
      </x:c>
      <x:c r="G243" s="7" t="str">
        <x:v>Review pause only; no speculative failure animation.</x:v>
      </x:c>
      <x:c r="H243" s="7" t="str">
        <x:v>Recover into a connected midfield line.</x:v>
      </x:c>
      <x:c r="I243" s="7" t="str">
        <x:v>MSA10</x:v>
      </x:c>
      <x:c r="J243" s="8" t="str"/>
    </x:row>
    <x:row r="244" ht="116" customHeight="1">
      <x:c r="A244" s="7" t="str">
        <x:v>D30</x:v>
      </x:c>
      <x:c r="B244" s="7" t="str">
        <x:v>base</x:v>
      </x:c>
      <x:c r="C244" s="7" t="str">
        <x:v>D</x:v>
      </x:c>
      <x:c r="D244" s="7" t="str">
        <x:v>Pause, scan and communicate before committing</x:v>
      </x:c>
      <x:c r="E244" s="7" t="str">
        <x:v>acceptable</x:v>
      </x:c>
      <x:c r="F244" s="7" t="str">
        <x:v>Scanning is useful, but reassess before the opportunity disappears.</x:v>
      </x:c>
      <x:c r="G244" s="7" t="str">
        <x:v>Review pause only; no speculative failure animation.</x:v>
      </x:c>
      <x:c r="H244" s="7" t="str">
        <x:v>Recover into a connected midfield line.</x:v>
      </x:c>
      <x:c r="I244" s="7" t="str">
        <x:v>MSA10</x:v>
      </x:c>
      <x:c r="J244" s="8" t="str"/>
    </x:row>
    <x:row r="245" ht="116" customHeight="1">
      <x:c r="A245" s="7" t="str">
        <x:v>D30</x:v>
      </x:c>
      <x:c r="B245" s="7" t="str">
        <x:v>changed</x:v>
      </x:c>
      <x:c r="C245" s="7" t="str">
        <x:v>A</x:v>
      </x:c>
      <x:c r="D245" s="7" t="str">
        <x:v>Recover into midfield</x:v>
      </x:c>
      <x:c r="E245" s="7" t="str">
        <x:v>acceptable</x:v>
      </x:c>
      <x:c r="F245" s="7" t="str">
        <x:v>Read the changed cue: The receiver is near the sideline with RB covering; pressure is now supported.</x:v>
      </x:c>
      <x:c r="G245" s="7" t="str">
        <x:v>Illustrative endpoint for this option; no guaranteed goal, turnover or calibrated travel time.</x:v>
      </x:c>
      <x:c r="H245" s="7" t="str">
        <x:v>Press if receiver is trapped and covered.</x:v>
      </x:c>
      <x:c r="I245" s="7" t="str">
        <x:v>MSA10</x:v>
      </x:c>
      <x:c r="J245" s="8" t="str"/>
    </x:row>
    <x:row r="246" ht="116" customHeight="1">
      <x:c r="A246" s="7" t="str">
        <x:v>D30</x:v>
      </x:c>
      <x:c r="B246" s="7" t="str">
        <x:v>changed</x:v>
      </x:c>
      <x:c r="C246" s="7" t="str">
        <x:v>B</x:v>
      </x:c>
      <x:c r="D246" s="7" t="str">
        <x:v>Press the trapped receiver</x:v>
      </x:c>
      <x:c r="E246" s="7" t="str">
        <x:v>preferred</x:v>
      </x:c>
      <x:c r="F246" s="7" t="str">
        <x:v>Read the changed cue: The receiver is near the sideline with RB covering; pressure is now supported.</x:v>
      </x:c>
      <x:c r="G246" s="7" t="str">
        <x:v>Illustrative endpoint for this option; no guaranteed goal, turnover or calibrated travel time.</x:v>
      </x:c>
      <x:c r="H246" s="7" t="str">
        <x:v>Press if receiver is trapped and covered.</x:v>
      </x:c>
      <x:c r="I246" s="7" t="str">
        <x:v>MSA10</x:v>
      </x:c>
      <x:c r="J246" s="8" t="str"/>
    </x:row>
    <x:row r="247" ht="116" customHeight="1">
      <x:c r="A247" s="7" t="str">
        <x:v>D30</x:v>
      </x:c>
      <x:c r="B247" s="7" t="str">
        <x:v>changed</x:v>
      </x:c>
      <x:c r="C247" s="7" t="str">
        <x:v>C</x:v>
      </x:c>
      <x:c r="D247" s="7" t="str">
        <x:v>Remain ahead of the ball.</x:v>
      </x:c>
      <x:c r="E247" s="7" t="str">
        <x:v>misread</x:v>
      </x:c>
      <x:c r="F247" s="7" t="str">
        <x:v>This risks losing the relationship we are trying to preserve: Remain ahead of the ball.</x:v>
      </x:c>
      <x:c r="G247" s="7" t="str">
        <x:v>Review pause only; no speculative failure animation.</x:v>
      </x:c>
      <x:c r="H247" s="7" t="str">
        <x:v>Press if receiver is trapped and covered.</x:v>
      </x:c>
      <x:c r="I247" s="7" t="str">
        <x:v>MSA10</x:v>
      </x:c>
      <x:c r="J247" s="8" t="str"/>
    </x:row>
    <x:row r="248" ht="116" customHeight="1">
      <x:c r="A248" s="7" t="str">
        <x:v>D30</x:v>
      </x:c>
      <x:c r="B248" s="7" t="str">
        <x:v>changed</x:v>
      </x:c>
      <x:c r="C248" s="7" t="str">
        <x:v>D</x:v>
      </x:c>
      <x:c r="D248" s="7" t="str">
        <x:v>Pause, scan and communicate before committing</x:v>
      </x:c>
      <x:c r="E248" s="7" t="str">
        <x:v>acceptable</x:v>
      </x:c>
      <x:c r="F248" s="7" t="str">
        <x:v>Scanning is useful, but reassess before the opportunity disappears.</x:v>
      </x:c>
      <x:c r="G248" s="7" t="str">
        <x:v>Review pause only; no speculative failure animation.</x:v>
      </x:c>
      <x:c r="H248" s="7" t="str">
        <x:v>Press if receiver is trapped and covered.</x:v>
      </x:c>
      <x:c r="I248" s="7" t="str">
        <x:v>MSA10</x:v>
      </x:c>
      <x:c r="J248" s="8" t="str"/>
    </x:row>
    <x:row r="249" ht="116" customHeight="1">
      <x:c r="A249" s="7" t="str">
        <x:v>D31</x:v>
      </x:c>
      <x:c r="B249" s="7" t="str">
        <x:v>base</x:v>
      </x:c>
      <x:c r="C249" s="7" t="str">
        <x:v>A</x:v>
      </x:c>
      <x:c r="D249" s="7" t="str">
        <x:v>Protect inside then close</x:v>
      </x:c>
      <x:c r="E249" s="7" t="str">
        <x:v>preferred</x:v>
      </x:c>
      <x:c r="F249" s="7" t="str">
        <x:v>Read the original cue: Attacker receives wide; inside route threatens goal.</x:v>
      </x:c>
      <x:c r="G249" s="7" t="str">
        <x:v>Illustrative endpoint for this option; no guaranteed goal, turnover or calibrated travel time.</x:v>
      </x:c>
      <x:c r="H249" s="7" t="str">
        <x:v>Approach inside-to-outside, then decelerate.</x:v>
      </x:c>
      <x:c r="I249" s="7" t="str">
        <x:v>MSA11</x:v>
      </x:c>
      <x:c r="J249" s="8" t="str"/>
    </x:row>
    <x:row r="250" ht="116" customHeight="1">
      <x:c r="A250" s="7" t="str">
        <x:v>D31</x:v>
      </x:c>
      <x:c r="B250" s="7" t="str">
        <x:v>base</x:v>
      </x:c>
      <x:c r="C250" s="7" t="str">
        <x:v>B</x:v>
      </x:c>
      <x:c r="D250" s="7" t="str">
        <x:v>Contest a reachable loose touch</x:v>
      </x:c>
      <x:c r="E250" s="7" t="str">
        <x:v>misread</x:v>
      </x:c>
      <x:c r="F250" s="7" t="str">
        <x:v>This action is not supported by the current cue. Attacker receives wide; inside route threatens goal.</x:v>
      </x:c>
      <x:c r="G250" s="7" t="str">
        <x:v>Freeze for explanation; do not illustrate a successful outcome for an unavailable action.</x:v>
      </x:c>
      <x:c r="H250" s="7" t="str">
        <x:v>Approach inside-to-outside, then decelerate.</x:v>
      </x:c>
      <x:c r="I250" s="7" t="str">
        <x:v>MSA11</x:v>
      </x:c>
      <x:c r="J250" s="8" t="str"/>
    </x:row>
    <x:row r="251" ht="116" customHeight="1">
      <x:c r="A251" s="7" t="str">
        <x:v>D31</x:v>
      </x:c>
      <x:c r="B251" s="7" t="str">
        <x:v>base</x:v>
      </x:c>
      <x:c r="C251" s="7" t="str">
        <x:v>C</x:v>
      </x:c>
      <x:c r="D251" s="7" t="str">
        <x:v>Overrun and expose inside.</x:v>
      </x:c>
      <x:c r="E251" s="7" t="str">
        <x:v>misread</x:v>
      </x:c>
      <x:c r="F251" s="7" t="str">
        <x:v>This risks losing the relationship we are trying to preserve: Overrun and expose inside.</x:v>
      </x:c>
      <x:c r="G251" s="7" t="str">
        <x:v>Review pause only; no speculative failure animation.</x:v>
      </x:c>
      <x:c r="H251" s="7" t="str">
        <x:v>Approach inside-to-outside, then decelerate.</x:v>
      </x:c>
      <x:c r="I251" s="7" t="str">
        <x:v>MSA11</x:v>
      </x:c>
      <x:c r="J251" s="8" t="str"/>
    </x:row>
    <x:row r="252" ht="116" customHeight="1">
      <x:c r="A252" s="7" t="str">
        <x:v>D31</x:v>
      </x:c>
      <x:c r="B252" s="7" t="str">
        <x:v>base</x:v>
      </x:c>
      <x:c r="C252" s="7" t="str">
        <x:v>D</x:v>
      </x:c>
      <x:c r="D252" s="7" t="str">
        <x:v>Pause, scan and communicate before committing</x:v>
      </x:c>
      <x:c r="E252" s="7" t="str">
        <x:v>acceptable</x:v>
      </x:c>
      <x:c r="F252" s="7" t="str">
        <x:v>Scanning is useful, but reassess before the opportunity disappears.</x:v>
      </x:c>
      <x:c r="G252" s="7" t="str">
        <x:v>Review pause only; no speculative failure animation.</x:v>
      </x:c>
      <x:c r="H252" s="7" t="str">
        <x:v>Approach inside-to-outside, then decelerate.</x:v>
      </x:c>
      <x:c r="I252" s="7" t="str">
        <x:v>MSA11</x:v>
      </x:c>
      <x:c r="J252" s="8" t="str"/>
    </x:row>
    <x:row r="253" ht="116" customHeight="1">
      <x:c r="A253" s="7" t="str">
        <x:v>D31</x:v>
      </x:c>
      <x:c r="B253" s="7" t="str">
        <x:v>changed</x:v>
      </x:c>
      <x:c r="C253" s="7" t="str">
        <x:v>A</x:v>
      </x:c>
      <x:c r="D253" s="7" t="str">
        <x:v>Protect inside then close</x:v>
      </x:c>
      <x:c r="E253" s="7" t="str">
        <x:v>acceptable</x:v>
      </x:c>
      <x:c r="F253" s="7" t="str">
        <x:v>Read the changed cue: The attacker knocks the ball inside toward you; check reach before contesting.</x:v>
      </x:c>
      <x:c r="G253" s="7" t="str">
        <x:v>Illustrative endpoint for this option; no guaranteed goal, turnover or calibrated travel time.</x:v>
      </x:c>
      <x:c r="H253" s="7" t="str">
        <x:v>Contest a loose touch if reachable.</x:v>
      </x:c>
      <x:c r="I253" s="7" t="str">
        <x:v>MSA11</x:v>
      </x:c>
      <x:c r="J253" s="8" t="str"/>
    </x:row>
    <x:row r="254" ht="116" customHeight="1">
      <x:c r="A254" s="7" t="str">
        <x:v>D31</x:v>
      </x:c>
      <x:c r="B254" s="7" t="str">
        <x:v>changed</x:v>
      </x:c>
      <x:c r="C254" s="7" t="str">
        <x:v>B</x:v>
      </x:c>
      <x:c r="D254" s="7" t="str">
        <x:v>Contest a reachable loose touch</x:v>
      </x:c>
      <x:c r="E254" s="7" t="str">
        <x:v>preferred</x:v>
      </x:c>
      <x:c r="F254" s="7" t="str">
        <x:v>Read the changed cue: The attacker knocks the ball inside toward you; check reach before contesting.</x:v>
      </x:c>
      <x:c r="G254" s="7" t="str">
        <x:v>Illustrative endpoint for this option; no guaranteed goal, turnover or calibrated travel time.</x:v>
      </x:c>
      <x:c r="H254" s="7" t="str">
        <x:v>Contest a loose touch if reachable.</x:v>
      </x:c>
      <x:c r="I254" s="7" t="str">
        <x:v>MSA11</x:v>
      </x:c>
      <x:c r="J254" s="8" t="str"/>
    </x:row>
    <x:row r="255" ht="116" customHeight="1">
      <x:c r="A255" s="7" t="str">
        <x:v>D31</x:v>
      </x:c>
      <x:c r="B255" s="7" t="str">
        <x:v>changed</x:v>
      </x:c>
      <x:c r="C255" s="7" t="str">
        <x:v>C</x:v>
      </x:c>
      <x:c r="D255" s="7" t="str">
        <x:v>Overrun and expose inside.</x:v>
      </x:c>
      <x:c r="E255" s="7" t="str">
        <x:v>misread</x:v>
      </x:c>
      <x:c r="F255" s="7" t="str">
        <x:v>This risks losing the relationship we are trying to preserve: Overrun and expose inside.</x:v>
      </x:c>
      <x:c r="G255" s="7" t="str">
        <x:v>Review pause only; no speculative failure animation.</x:v>
      </x:c>
      <x:c r="H255" s="7" t="str">
        <x:v>Contest a loose touch if reachable.</x:v>
      </x:c>
      <x:c r="I255" s="7" t="str">
        <x:v>MSA11</x:v>
      </x:c>
      <x:c r="J255" s="8" t="str"/>
    </x:row>
    <x:row r="256" ht="116" customHeight="1">
      <x:c r="A256" s="7" t="str">
        <x:v>D31</x:v>
      </x:c>
      <x:c r="B256" s="7" t="str">
        <x:v>changed</x:v>
      </x:c>
      <x:c r="C256" s="7" t="str">
        <x:v>D</x:v>
      </x:c>
      <x:c r="D256" s="7" t="str">
        <x:v>Pause, scan and communicate before committing</x:v>
      </x:c>
      <x:c r="E256" s="7" t="str">
        <x:v>acceptable</x:v>
      </x:c>
      <x:c r="F256" s="7" t="str">
        <x:v>Scanning is useful, but reassess before the opportunity disappears.</x:v>
      </x:c>
      <x:c r="G256" s="7" t="str">
        <x:v>Review pause only; no speculative failure animation.</x:v>
      </x:c>
      <x:c r="H256" s="7" t="str">
        <x:v>Contest a loose touch if reachable.</x:v>
      </x:c>
      <x:c r="I256" s="7" t="str">
        <x:v>MSA11</x:v>
      </x:c>
      <x:c r="J256" s="8" t="str"/>
    </x:row>
    <x:row r="257" ht="116" customHeight="1">
      <x:c r="A257" s="7" t="str">
        <x:v>D32</x:v>
      </x:c>
      <x:c r="B257" s="7" t="str">
        <x:v>base</x:v>
      </x:c>
      <x:c r="C257" s="7" t="str">
        <x:v>A</x:v>
      </x:c>
      <x:c r="D257" s="7" t="str">
        <x:v>Delay on the goal-side route</x:v>
      </x:c>
      <x:c r="E257" s="7" t="str">
        <x:v>preferred</x:v>
      </x:c>
      <x:c r="F257" s="7" t="str">
        <x:v>Read the original cue: Attacker has control and you lack cover.</x:v>
      </x:c>
      <x:c r="G257" s="7" t="str">
        <x:v>Illustrative endpoint for this option; no guaranteed goal, turnover or calibrated travel time.</x:v>
      </x:c>
      <x:c r="H257" s="7" t="str">
        <x:v>Delay on the goal-side route.</x:v>
      </x:c>
      <x:c r="I257" s="7" t="str">
        <x:v>MSA11</x:v>
      </x:c>
      <x:c r="J257" s="8" t="str"/>
    </x:row>
    <x:row r="258" ht="116" customHeight="1">
      <x:c r="A258" s="7" t="str">
        <x:v>D32</x:v>
      </x:c>
      <x:c r="B258" s="7" t="str">
        <x:v>base</x:v>
      </x:c>
      <x:c r="C258" s="7" t="str">
        <x:v>B</x:v>
      </x:c>
      <x:c r="D258" s="7" t="str">
        <x:v>Contest the loose ball</x:v>
      </x:c>
      <x:c r="E258" s="7" t="str">
        <x:v>misread</x:v>
      </x:c>
      <x:c r="F258" s="7" t="str">
        <x:v>This action is not supported by the current cue. Attacker has control and you lack cover.</x:v>
      </x:c>
      <x:c r="G258" s="7" t="str">
        <x:v>Freeze for explanation; do not illustrate a successful outcome for an unavailable action.</x:v>
      </x:c>
      <x:c r="H258" s="7" t="str">
        <x:v>Delay on the goal-side route.</x:v>
      </x:c>
      <x:c r="I258" s="7" t="str">
        <x:v>MSA11</x:v>
      </x:c>
      <x:c r="J258" s="8" t="str"/>
    </x:row>
    <x:row r="259" ht="116" customHeight="1">
      <x:c r="A259" s="7" t="str">
        <x:v>D32</x:v>
      </x:c>
      <x:c r="B259" s="7" t="str">
        <x:v>base</x:v>
      </x:c>
      <x:c r="C259" s="7" t="str">
        <x:v>C</x:v>
      </x:c>
      <x:c r="D259" s="7" t="str">
        <x:v>Stab at a protected ball.</x:v>
      </x:c>
      <x:c r="E259" s="7" t="str">
        <x:v>misread</x:v>
      </x:c>
      <x:c r="F259" s="7" t="str">
        <x:v>This risks losing the relationship we are trying to preserve: Stab at a protected ball.</x:v>
      </x:c>
      <x:c r="G259" s="7" t="str">
        <x:v>Review pause only; no speculative failure animation.</x:v>
      </x:c>
      <x:c r="H259" s="7" t="str">
        <x:v>Delay on the goal-side route.</x:v>
      </x:c>
      <x:c r="I259" s="7" t="str">
        <x:v>MSA11</x:v>
      </x:c>
      <x:c r="J259" s="8" t="str"/>
    </x:row>
    <x:row r="260" ht="116" customHeight="1">
      <x:c r="A260" s="7" t="str">
        <x:v>D32</x:v>
      </x:c>
      <x:c r="B260" s="7" t="str">
        <x:v>base</x:v>
      </x:c>
      <x:c r="C260" s="7" t="str">
        <x:v>D</x:v>
      </x:c>
      <x:c r="D260" s="7" t="str">
        <x:v>Pause, scan and communicate before committing</x:v>
      </x:c>
      <x:c r="E260" s="7" t="str">
        <x:v>acceptable</x:v>
      </x:c>
      <x:c r="F260" s="7" t="str">
        <x:v>Scanning is useful, but reassess before the opportunity disappears.</x:v>
      </x:c>
      <x:c r="G260" s="7" t="str">
        <x:v>Review pause only; no speculative failure animation.</x:v>
      </x:c>
      <x:c r="H260" s="7" t="str">
        <x:v>Delay on the goal-side route.</x:v>
      </x:c>
      <x:c r="I260" s="7" t="str">
        <x:v>MSA11</x:v>
      </x:c>
      <x:c r="J260" s="8" t="str"/>
    </x:row>
    <x:row r="261" ht="116" customHeight="1">
      <x:c r="A261" s="7" t="str">
        <x:v>D32</x:v>
      </x:c>
      <x:c r="B261" s="7" t="str">
        <x:v>changed</x:v>
      </x:c>
      <x:c r="C261" s="7" t="str">
        <x:v>A</x:v>
      </x:c>
      <x:c r="D261" s="7" t="str">
        <x:v>Delay on the goal-side route</x:v>
      </x:c>
      <x:c r="E261" s="7" t="str">
        <x:v>acceptable</x:v>
      </x:c>
      <x:c r="F261" s="7" t="str">
        <x:v>Read the changed cue: A touch escapes toward you; the ball is available without lunging through the player.</x:v>
      </x:c>
      <x:c r="G261" s="7" t="str">
        <x:v>Illustrative endpoint for this option; no guaranteed goal, turnover or calibrated travel time.</x:v>
      </x:c>
      <x:c r="H261" s="7" t="str">
        <x:v>Tackle when a genuinely loose ball appears.</x:v>
      </x:c>
      <x:c r="I261" s="7" t="str">
        <x:v>MSA11</x:v>
      </x:c>
      <x:c r="J261" s="8" t="str"/>
    </x:row>
    <x:row r="262" ht="116" customHeight="1">
      <x:c r="A262" s="7" t="str">
        <x:v>D32</x:v>
      </x:c>
      <x:c r="B262" s="7" t="str">
        <x:v>changed</x:v>
      </x:c>
      <x:c r="C262" s="7" t="str">
        <x:v>B</x:v>
      </x:c>
      <x:c r="D262" s="7" t="str">
        <x:v>Contest the loose ball</x:v>
      </x:c>
      <x:c r="E262" s="7" t="str">
        <x:v>preferred</x:v>
      </x:c>
      <x:c r="F262" s="7" t="str">
        <x:v>Read the changed cue: A touch escapes toward you; the ball is available without lunging through the player.</x:v>
      </x:c>
      <x:c r="G262" s="7" t="str">
        <x:v>Illustrative endpoint for this option; no guaranteed goal, turnover or calibrated travel time.</x:v>
      </x:c>
      <x:c r="H262" s="7" t="str">
        <x:v>Tackle when a genuinely loose ball appears.</x:v>
      </x:c>
      <x:c r="I262" s="7" t="str">
        <x:v>MSA11</x:v>
      </x:c>
      <x:c r="J262" s="8" t="str"/>
    </x:row>
    <x:row r="263" ht="116" customHeight="1">
      <x:c r="A263" s="7" t="str">
        <x:v>D32</x:v>
      </x:c>
      <x:c r="B263" s="7" t="str">
        <x:v>changed</x:v>
      </x:c>
      <x:c r="C263" s="7" t="str">
        <x:v>C</x:v>
      </x:c>
      <x:c r="D263" s="7" t="str">
        <x:v>Stab at a protected ball.</x:v>
      </x:c>
      <x:c r="E263" s="7" t="str">
        <x:v>misread</x:v>
      </x:c>
      <x:c r="F263" s="7" t="str">
        <x:v>This risks losing the relationship we are trying to preserve: Stab at a protected ball.</x:v>
      </x:c>
      <x:c r="G263" s="7" t="str">
        <x:v>Review pause only; no speculative failure animation.</x:v>
      </x:c>
      <x:c r="H263" s="7" t="str">
        <x:v>Tackle when a genuinely loose ball appears.</x:v>
      </x:c>
      <x:c r="I263" s="7" t="str">
        <x:v>MSA11</x:v>
      </x:c>
      <x:c r="J263" s="8" t="str"/>
    </x:row>
    <x:row r="264" ht="116" customHeight="1">
      <x:c r="A264" s="7" t="str">
        <x:v>D32</x:v>
      </x:c>
      <x:c r="B264" s="7" t="str">
        <x:v>changed</x:v>
      </x:c>
      <x:c r="C264" s="7" t="str">
        <x:v>D</x:v>
      </x:c>
      <x:c r="D264" s="7" t="str">
        <x:v>Pause, scan and communicate before committing</x:v>
      </x:c>
      <x:c r="E264" s="7" t="str">
        <x:v>acceptable</x:v>
      </x:c>
      <x:c r="F264" s="7" t="str">
        <x:v>Scanning is useful, but reassess before the opportunity disappears.</x:v>
      </x:c>
      <x:c r="G264" s="7" t="str">
        <x:v>Review pause only; no speculative failure animation.</x:v>
      </x:c>
      <x:c r="H264" s="7" t="str">
        <x:v>Tackle when a genuinely loose ball appears.</x:v>
      </x:c>
      <x:c r="I264" s="7" t="str">
        <x:v>MSA11</x:v>
      </x:c>
      <x:c r="J264" s="8" t="str"/>
    </x:row>
    <x:row r="265" ht="116" customHeight="1">
      <x:c r="A265" s="7" t="str">
        <x:v>D33</x:v>
      </x:c>
      <x:c r="B265" s="7" t="str">
        <x:v>base</x:v>
      </x:c>
      <x:c r="C265" s="7" t="str">
        <x:v>A</x:v>
      </x:c>
      <x:c r="D265" s="7" t="str">
        <x:v>Become first defender</x:v>
      </x:c>
      <x:c r="E265" s="7" t="str">
        <x:v>preferred</x:v>
      </x:c>
      <x:c r="F265" s="7" t="str">
        <x:v>Read the original cue: Teammate is beaten toward goal.</x:v>
      </x:c>
      <x:c r="G265" s="7" t="str">
        <x:v>Illustrative endpoint for this option; no guaranteed goal, turnover or calibrated travel time.</x:v>
      </x:c>
      <x:c r="H265" s="7" t="str">
        <x:v>Become first defender while support recovers.</x:v>
      </x:c>
      <x:c r="I265" s="7" t="str">
        <x:v>MSA11</x:v>
      </x:c>
      <x:c r="J265" s="8" t="str"/>
    </x:row>
    <x:row r="266" ht="116" customHeight="1">
      <x:c r="A266" s="7" t="str">
        <x:v>D33</x:v>
      </x:c>
      <x:c r="B266" s="7" t="str">
        <x:v>base</x:v>
      </x:c>
      <x:c r="C266" s="7" t="str">
        <x:v>B</x:v>
      </x:c>
      <x:c r="D266" s="7" t="str">
        <x:v>Remain the covering defender</x:v>
      </x:c>
      <x:c r="E266" s="7" t="str">
        <x:v>acceptable</x:v>
      </x:c>
      <x:c r="F266" s="7" t="str">
        <x:v>Read the original cue: Teammate is beaten toward goal.</x:v>
      </x:c>
      <x:c r="G266" s="7" t="str">
        <x:v>Illustrative endpoint for this option; no guaranteed goal, turnover or calibrated travel time.</x:v>
      </x:c>
      <x:c r="H266" s="7" t="str">
        <x:v>Become first defender while support recovers.</x:v>
      </x:c>
      <x:c r="I266" s="7" t="str">
        <x:v>MSA11</x:v>
      </x:c>
      <x:c r="J266" s="8" t="str"/>
    </x:row>
    <x:row r="267" ht="116" customHeight="1">
      <x:c r="A267" s="7" t="str">
        <x:v>D33</x:v>
      </x:c>
      <x:c r="B267" s="7" t="str">
        <x:v>base</x:v>
      </x:c>
      <x:c r="C267" s="7" t="str">
        <x:v>C</x:v>
      </x:c>
      <x:c r="D267" s="7" t="str">
        <x:v>Stay passive on the old line.</x:v>
      </x:c>
      <x:c r="E267" s="7" t="str">
        <x:v>misread</x:v>
      </x:c>
      <x:c r="F267" s="7" t="str">
        <x:v>This risks losing the relationship we are trying to preserve: Stay passive on the old line.</x:v>
      </x:c>
      <x:c r="G267" s="7" t="str">
        <x:v>Review pause only; no speculative failure animation.</x:v>
      </x:c>
      <x:c r="H267" s="7" t="str">
        <x:v>Become first defender while support recovers.</x:v>
      </x:c>
      <x:c r="I267" s="7" t="str">
        <x:v>MSA11</x:v>
      </x:c>
      <x:c r="J267" s="8" t="str"/>
    </x:row>
    <x:row r="268" ht="116" customHeight="1">
      <x:c r="A268" s="7" t="str">
        <x:v>D33</x:v>
      </x:c>
      <x:c r="B268" s="7" t="str">
        <x:v>base</x:v>
      </x:c>
      <x:c r="C268" s="7" t="str">
        <x:v>D</x:v>
      </x:c>
      <x:c r="D268" s="7" t="str">
        <x:v>Pause, scan and communicate before committing</x:v>
      </x:c>
      <x:c r="E268" s="7" t="str">
        <x:v>acceptable</x:v>
      </x:c>
      <x:c r="F268" s="7" t="str">
        <x:v>Scanning is useful, but reassess before the opportunity disappears.</x:v>
      </x:c>
      <x:c r="G268" s="7" t="str">
        <x:v>Review pause only; no speculative failure animation.</x:v>
      </x:c>
      <x:c r="H268" s="7" t="str">
        <x:v>Become first defender while support recovers.</x:v>
      </x:c>
      <x:c r="I268" s="7" t="str">
        <x:v>MSA11</x:v>
      </x:c>
      <x:c r="J268" s="8" t="str"/>
    </x:row>
    <x:row r="269" ht="116" customHeight="1">
      <x:c r="A269" s="7" t="str">
        <x:v>D33</x:v>
      </x:c>
      <x:c r="B269" s="7" t="str">
        <x:v>changed</x:v>
      </x:c>
      <x:c r="C269" s="7" t="str">
        <x:v>A</x:v>
      </x:c>
      <x:c r="D269" s="7" t="str">
        <x:v>Become first defender</x:v>
      </x:c>
      <x:c r="E269" s="7" t="str">
        <x:v>misread</x:v>
      </x:c>
      <x:c r="F269" s="7" t="str">
        <x:v>This action is not supported by the current cue. The outside back has recovered goal-side; preserve cover instead of duplicating pressure.</x:v>
      </x:c>
      <x:c r="G269" s="7" t="str">
        <x:v>Freeze for explanation; do not illustrate a successful outcome for an unavailable action.</x:v>
      </x:c>
      <x:c r="H269" s="7" t="str">
        <x:v>Keep cover if teammate regains position.</x:v>
      </x:c>
      <x:c r="I269" s="7" t="str">
        <x:v>MSA11</x:v>
      </x:c>
      <x:c r="J269" s="8" t="str"/>
    </x:row>
    <x:row r="270" ht="116" customHeight="1">
      <x:c r="A270" s="7" t="str">
        <x:v>D33</x:v>
      </x:c>
      <x:c r="B270" s="7" t="str">
        <x:v>changed</x:v>
      </x:c>
      <x:c r="C270" s="7" t="str">
        <x:v>B</x:v>
      </x:c>
      <x:c r="D270" s="7" t="str">
        <x:v>Remain the covering defender</x:v>
      </x:c>
      <x:c r="E270" s="7" t="str">
        <x:v>preferred</x:v>
      </x:c>
      <x:c r="F270" s="7" t="str">
        <x:v>Read the changed cue: The outside back has recovered goal-side; preserve cover instead of duplicating pressure.</x:v>
      </x:c>
      <x:c r="G270" s="7" t="str">
        <x:v>Illustrative endpoint for this option; no guaranteed goal, turnover or calibrated travel time.</x:v>
      </x:c>
      <x:c r="H270" s="7" t="str">
        <x:v>Keep cover if teammate regains position.</x:v>
      </x:c>
      <x:c r="I270" s="7" t="str">
        <x:v>MSA11</x:v>
      </x:c>
      <x:c r="J270" s="8" t="str"/>
    </x:row>
    <x:row r="271" ht="116" customHeight="1">
      <x:c r="A271" s="7" t="str">
        <x:v>D33</x:v>
      </x:c>
      <x:c r="B271" s="7" t="str">
        <x:v>changed</x:v>
      </x:c>
      <x:c r="C271" s="7" t="str">
        <x:v>C</x:v>
      </x:c>
      <x:c r="D271" s="7" t="str">
        <x:v>Stay passive on the old line.</x:v>
      </x:c>
      <x:c r="E271" s="7" t="str">
        <x:v>misread</x:v>
      </x:c>
      <x:c r="F271" s="7" t="str">
        <x:v>This risks losing the relationship we are trying to preserve: Stay passive on the old line.</x:v>
      </x:c>
      <x:c r="G271" s="7" t="str">
        <x:v>Review pause only; no speculative failure animation.</x:v>
      </x:c>
      <x:c r="H271" s="7" t="str">
        <x:v>Keep cover if teammate regains position.</x:v>
      </x:c>
      <x:c r="I271" s="7" t="str">
        <x:v>MSA11</x:v>
      </x:c>
      <x:c r="J271" s="8" t="str"/>
    </x:row>
    <x:row r="272" ht="116" customHeight="1">
      <x:c r="A272" s="7" t="str">
        <x:v>D33</x:v>
      </x:c>
      <x:c r="B272" s="7" t="str">
        <x:v>changed</x:v>
      </x:c>
      <x:c r="C272" s="7" t="str">
        <x:v>D</x:v>
      </x:c>
      <x:c r="D272" s="7" t="str">
        <x:v>Pause, scan and communicate before committing</x:v>
      </x:c>
      <x:c r="E272" s="7" t="str">
        <x:v>acceptable</x:v>
      </x:c>
      <x:c r="F272" s="7" t="str">
        <x:v>Scanning is useful, but reassess before the opportunity disappears.</x:v>
      </x:c>
      <x:c r="G272" s="7" t="str">
        <x:v>Review pause only; no speculative failure animation.</x:v>
      </x:c>
      <x:c r="H272" s="7" t="str">
        <x:v>Keep cover if teammate regains position.</x:v>
      </x:c>
      <x:c r="I272" s="7" t="str">
        <x:v>MSA11</x:v>
      </x:c>
      <x:c r="J272" s="8" t="str"/>
    </x:row>
    <x:row r="273" ht="116" customHeight="1">
      <x:c r="A273" s="7" t="str">
        <x:v>D34</x:v>
      </x:c>
      <x:c r="B273" s="7" t="str">
        <x:v>base</x:v>
      </x:c>
      <x:c r="C273" s="7" t="str">
        <x:v>A</x:v>
      </x:c>
      <x:c r="D273" s="7" t="str">
        <x:v>Stay goal-side with the runner</x:v>
      </x:c>
      <x:c r="E273" s="7" t="str">
        <x:v>preferred</x:v>
      </x:c>
      <x:c r="F273" s="7" t="str">
        <x:v>Read the original cue: Wide carrier can deliver; striker runs centrally.</x:v>
      </x:c>
      <x:c r="G273" s="7" t="str">
        <x:v>Illustrative endpoint for this option; no guaranteed goal, turnover or calibrated travel time.</x:v>
      </x:c>
      <x:c r="H273" s="7" t="str">
        <x:v>Stay goal-side with runner while seeing ball.</x:v>
      </x:c>
      <x:c r="I273" s="7" t="str">
        <x:v>MSA12</x:v>
      </x:c>
      <x:c r="J273" s="8" t="str"/>
    </x:row>
    <x:row r="274" ht="116" customHeight="1">
      <x:c r="A274" s="7" t="str">
        <x:v>D34</x:v>
      </x:c>
      <x:c r="B274" s="7" t="str">
        <x:v>base</x:v>
      </x:c>
      <x:c r="C274" s="7" t="str">
        <x:v>B</x:v>
      </x:c>
      <x:c r="D274" s="7" t="str">
        <x:v>Step with the line</x:v>
      </x:c>
      <x:c r="E274" s="7" t="str">
        <x:v>acceptable</x:v>
      </x:c>
      <x:c r="F274" s="7" t="str">
        <x:v>Read the original cue: Wide carrier can deliver; striker runs centrally.</x:v>
      </x:c>
      <x:c r="G274" s="7" t="str">
        <x:v>Illustrative endpoint for this option; no guaranteed goal, turnover or calibrated travel time.</x:v>
      </x:c>
      <x:c r="H274" s="7" t="str">
        <x:v>Stay goal-side with runner while seeing ball.</x:v>
      </x:c>
      <x:c r="I274" s="7" t="str">
        <x:v>MSA12</x:v>
      </x:c>
      <x:c r="J274" s="8" t="str"/>
    </x:row>
    <x:row r="275" ht="116" customHeight="1">
      <x:c r="A275" s="7" t="str">
        <x:v>D34</x:v>
      </x:c>
      <x:c r="B275" s="7" t="str">
        <x:v>base</x:v>
      </x:c>
      <x:c r="C275" s="7" t="str">
        <x:v>C</x:v>
      </x:c>
      <x:c r="D275" s="7" t="str">
        <x:v>Watch only the ball.</x:v>
      </x:c>
      <x:c r="E275" s="7" t="str">
        <x:v>misread</x:v>
      </x:c>
      <x:c r="F275" s="7" t="str">
        <x:v>This risks losing the relationship we are trying to preserve: Watch only the ball.</x:v>
      </x:c>
      <x:c r="G275" s="7" t="str">
        <x:v>Review pause only; no speculative failure animation.</x:v>
      </x:c>
      <x:c r="H275" s="7" t="str">
        <x:v>Stay goal-side with runner while seeing ball.</x:v>
      </x:c>
      <x:c r="I275" s="7" t="str">
        <x:v>MSA12</x:v>
      </x:c>
      <x:c r="J275" s="8" t="str"/>
    </x:row>
    <x:row r="276" ht="116" customHeight="1">
      <x:c r="A276" s="7" t="str">
        <x:v>D34</x:v>
      </x:c>
      <x:c r="B276" s="7" t="str">
        <x:v>base</x:v>
      </x:c>
      <x:c r="C276" s="7" t="str">
        <x:v>D</x:v>
      </x:c>
      <x:c r="D276" s="7" t="str">
        <x:v>Pause, scan and communicate before committing</x:v>
      </x:c>
      <x:c r="E276" s="7" t="str">
        <x:v>acceptable</x:v>
      </x:c>
      <x:c r="F276" s="7" t="str">
        <x:v>Scanning is useful, but reassess before the opportunity disappears.</x:v>
      </x:c>
      <x:c r="G276" s="7" t="str">
        <x:v>Review pause only; no speculative failure animation.</x:v>
      </x:c>
      <x:c r="H276" s="7" t="str">
        <x:v>Stay goal-side with runner while seeing ball.</x:v>
      </x:c>
      <x:c r="I276" s="7" t="str">
        <x:v>MSA12</x:v>
      </x:c>
      <x:c r="J276" s="8" t="str"/>
    </x:row>
    <x:row r="277" ht="116" customHeight="1">
      <x:c r="A277" s="7" t="str">
        <x:v>D34</x:v>
      </x:c>
      <x:c r="B277" s="7" t="str">
        <x:v>changed</x:v>
      </x:c>
      <x:c r="C277" s="7" t="str">
        <x:v>A</x:v>
      </x:c>
      <x:c r="D277" s="7" t="str">
        <x:v>Stay goal-side with the runner</x:v>
      </x:c>
      <x:c r="E277" s="7" t="str">
        <x:v>acceptable</x:v>
      </x:c>
      <x:c r="F277" s="7" t="str">
        <x:v>Read the changed cue: Ball pressure prevents the immediate delivery; step only with the rest of the line.</x:v>
      </x:c>
      <x:c r="G277" s="7" t="str">
        <x:v>Illustrative endpoint for this option; no guaranteed goal, turnover or calibrated travel time.</x:v>
      </x:c>
      <x:c r="H277" s="7" t="str">
        <x:v>Step only if delivery is prevented and unit moves.</x:v>
      </x:c>
      <x:c r="I277" s="7" t="str">
        <x:v>MSA12</x:v>
      </x:c>
      <x:c r="J277" s="8" t="str"/>
    </x:row>
    <x:row r="278" ht="116" customHeight="1">
      <x:c r="A278" s="7" t="str">
        <x:v>D34</x:v>
      </x:c>
      <x:c r="B278" s="7" t="str">
        <x:v>changed</x:v>
      </x:c>
      <x:c r="C278" s="7" t="str">
        <x:v>B</x:v>
      </x:c>
      <x:c r="D278" s="7" t="str">
        <x:v>Step with the line</x:v>
      </x:c>
      <x:c r="E278" s="7" t="str">
        <x:v>preferred</x:v>
      </x:c>
      <x:c r="F278" s="7" t="str">
        <x:v>Read the changed cue: Ball pressure prevents the immediate delivery; step only with the rest of the line.</x:v>
      </x:c>
      <x:c r="G278" s="7" t="str">
        <x:v>Illustrative endpoint for this option; no guaranteed goal, turnover or calibrated travel time.</x:v>
      </x:c>
      <x:c r="H278" s="7" t="str">
        <x:v>Step only if delivery is prevented and unit moves.</x:v>
      </x:c>
      <x:c r="I278" s="7" t="str">
        <x:v>MSA12</x:v>
      </x:c>
      <x:c r="J278" s="8" t="str"/>
    </x:row>
    <x:row r="279" ht="116" customHeight="1">
      <x:c r="A279" s="7" t="str">
        <x:v>D34</x:v>
      </x:c>
      <x:c r="B279" s="7" t="str">
        <x:v>changed</x:v>
      </x:c>
      <x:c r="C279" s="7" t="str">
        <x:v>C</x:v>
      </x:c>
      <x:c r="D279" s="7" t="str">
        <x:v>Watch only the ball.</x:v>
      </x:c>
      <x:c r="E279" s="7" t="str">
        <x:v>misread</x:v>
      </x:c>
      <x:c r="F279" s="7" t="str">
        <x:v>This risks losing the relationship we are trying to preserve: Watch only the ball.</x:v>
      </x:c>
      <x:c r="G279" s="7" t="str">
        <x:v>Review pause only; no speculative failure animation.</x:v>
      </x:c>
      <x:c r="H279" s="7" t="str">
        <x:v>Step only if delivery is prevented and unit moves.</x:v>
      </x:c>
      <x:c r="I279" s="7" t="str">
        <x:v>MSA12</x:v>
      </x:c>
      <x:c r="J279" s="8" t="str"/>
    </x:row>
    <x:row r="280" ht="116" customHeight="1">
      <x:c r="A280" s="7" t="str">
        <x:v>D34</x:v>
      </x:c>
      <x:c r="B280" s="7" t="str">
        <x:v>changed</x:v>
      </x:c>
      <x:c r="C280" s="7" t="str">
        <x:v>D</x:v>
      </x:c>
      <x:c r="D280" s="7" t="str">
        <x:v>Pause, scan and communicate before committing</x:v>
      </x:c>
      <x:c r="E280" s="7" t="str">
        <x:v>acceptable</x:v>
      </x:c>
      <x:c r="F280" s="7" t="str">
        <x:v>Scanning is useful, but reassess before the opportunity disappears.</x:v>
      </x:c>
      <x:c r="G280" s="7" t="str">
        <x:v>Review pause only; no speculative failure animation.</x:v>
      </x:c>
      <x:c r="H280" s="7" t="str">
        <x:v>Step only if delivery is prevented and unit moves.</x:v>
      </x:c>
      <x:c r="I280" s="7" t="str">
        <x:v>MSA12</x:v>
      </x:c>
      <x:c r="J280" s="8" t="str"/>
    </x:row>
    <x:row r="281" ht="116" customHeight="1">
      <x:c r="A281" s="7" t="str">
        <x:v>D35</x:v>
      </x:c>
      <x:c r="B281" s="7" t="str">
        <x:v>base</x:v>
      </x:c>
      <x:c r="C281" s="7" t="str">
        <x:v>A</x:v>
      </x:c>
      <x:c r="D281" s="7" t="str">
        <x:v>Protect the cutback lane</x:v>
      </x:c>
      <x:c r="E281" s="7" t="str">
        <x:v>preferred</x:v>
      </x:c>
      <x:c r="F281" s="7" t="str">
        <x:v>Read the original cue: Defenders track runners; cutback space is open.</x:v>
      </x:c>
      <x:c r="G281" s="7" t="str">
        <x:v>Illustrative endpoint for this option; no guaranteed goal, turnover or calibrated travel time.</x:v>
      </x:c>
      <x:c r="H281" s="7" t="str">
        <x:v>Protect the cutback lane.</x:v>
      </x:c>
      <x:c r="I281" s="7" t="str">
        <x:v>MSA12</x:v>
      </x:c>
      <x:c r="J281" s="8" t="str"/>
    </x:row>
    <x:row r="282" ht="116" customHeight="1">
      <x:c r="A282" s="7" t="str">
        <x:v>D35</x:v>
      </x:c>
      <x:c r="B282" s="7" t="str">
        <x:v>base</x:v>
      </x:c>
      <x:c r="C282" s="7" t="str">
        <x:v>B</x:v>
      </x:c>
      <x:c r="D282" s="7" t="str">
        <x:v>Track the runner through your zone</x:v>
      </x:c>
      <x:c r="E282" s="7" t="str">
        <x:v>acceptable</x:v>
      </x:c>
      <x:c r="F282" s="7" t="str">
        <x:v>Read the original cue: Defenders track runners; cutback space is open.</x:v>
      </x:c>
      <x:c r="G282" s="7" t="str">
        <x:v>Illustrative endpoint for this option; no guaranteed goal, turnover or calibrated travel time.</x:v>
      </x:c>
      <x:c r="H282" s="7" t="str">
        <x:v>Protect the cutback lane.</x:v>
      </x:c>
      <x:c r="I282" s="7" t="str">
        <x:v>MSA12</x:v>
      </x:c>
      <x:c r="J282" s="8" t="str"/>
    </x:row>
    <x:row r="283" ht="116" customHeight="1">
      <x:c r="A283" s="7" t="str">
        <x:v>D35</x:v>
      </x:c>
      <x:c r="B283" s="7" t="str">
        <x:v>base</x:v>
      </x:c>
      <x:c r="C283" s="7" t="str">
        <x:v>C</x:v>
      </x:c>
      <x:c r="D283" s="7" t="str">
        <x:v>Drop onto the goalkeeper.</x:v>
      </x:c>
      <x:c r="E283" s="7" t="str">
        <x:v>misread</x:v>
      </x:c>
      <x:c r="F283" s="7" t="str">
        <x:v>This risks losing the relationship we are trying to preserve: Drop onto the goalkeeper.</x:v>
      </x:c>
      <x:c r="G283" s="7" t="str">
        <x:v>Review pause only; no speculative failure animation.</x:v>
      </x:c>
      <x:c r="H283" s="7" t="str">
        <x:v>Protect the cutback lane.</x:v>
      </x:c>
      <x:c r="I283" s="7" t="str">
        <x:v>MSA12</x:v>
      </x:c>
      <x:c r="J283" s="8" t="str"/>
    </x:row>
    <x:row r="284" ht="116" customHeight="1">
      <x:c r="A284" s="7" t="str">
        <x:v>D35</x:v>
      </x:c>
      <x:c r="B284" s="7" t="str">
        <x:v>base</x:v>
      </x:c>
      <x:c r="C284" s="7" t="str">
        <x:v>D</x:v>
      </x:c>
      <x:c r="D284" s="7" t="str">
        <x:v>Pause, scan and communicate before committing</x:v>
      </x:c>
      <x:c r="E284" s="7" t="str">
        <x:v>acceptable</x:v>
      </x:c>
      <x:c r="F284" s="7" t="str">
        <x:v>Scanning is useful, but reassess before the opportunity disappears.</x:v>
      </x:c>
      <x:c r="G284" s="7" t="str">
        <x:v>Review pause only; no speculative failure animation.</x:v>
      </x:c>
      <x:c r="H284" s="7" t="str">
        <x:v>Protect the cutback lane.</x:v>
      </x:c>
      <x:c r="I284" s="7" t="str">
        <x:v>MSA12</x:v>
      </x:c>
      <x:c r="J284" s="8" t="str"/>
    </x:row>
    <x:row r="285" ht="116" customHeight="1">
      <x:c r="A285" s="7" t="str">
        <x:v>D35</x:v>
      </x:c>
      <x:c r="B285" s="7" t="str">
        <x:v>changed</x:v>
      </x:c>
      <x:c r="C285" s="7" t="str">
        <x:v>A</x:v>
      </x:c>
      <x:c r="D285" s="7" t="str">
        <x:v>Protect the cutback lane</x:v>
      </x:c>
      <x:c r="E285" s="7" t="str">
        <x:v>acceptable</x:v>
      </x:c>
      <x:c r="F285" s="7" t="str">
        <x:v>Read the changed cue: RB has taken the cutback zone while a runner threatens behind you; communicate the handoff.</x:v>
      </x:c>
      <x:c r="G285" s="7" t="str">
        <x:v>Illustrative endpoint for this option; no guaranteed goal, turnover or calibrated travel time.</x:v>
      </x:c>
      <x:c r="H285" s="7" t="str">
        <x:v>Track a runner if teammate takes that zone.</x:v>
      </x:c>
      <x:c r="I285" s="7" t="str">
        <x:v>MSA12</x:v>
      </x:c>
      <x:c r="J285" s="8" t="str"/>
    </x:row>
    <x:row r="286" ht="116" customHeight="1">
      <x:c r="A286" s="7" t="str">
        <x:v>D35</x:v>
      </x:c>
      <x:c r="B286" s="7" t="str">
        <x:v>changed</x:v>
      </x:c>
      <x:c r="C286" s="7" t="str">
        <x:v>B</x:v>
      </x:c>
      <x:c r="D286" s="7" t="str">
        <x:v>Track the runner through your zone</x:v>
      </x:c>
      <x:c r="E286" s="7" t="str">
        <x:v>preferred</x:v>
      </x:c>
      <x:c r="F286" s="7" t="str">
        <x:v>Read the changed cue: RB has taken the cutback zone while a runner threatens behind you; communicate the handoff.</x:v>
      </x:c>
      <x:c r="G286" s="7" t="str">
        <x:v>Illustrative endpoint for this option; no guaranteed goal, turnover or calibrated travel time.</x:v>
      </x:c>
      <x:c r="H286" s="7" t="str">
        <x:v>Track a runner if teammate takes that zone.</x:v>
      </x:c>
      <x:c r="I286" s="7" t="str">
        <x:v>MSA12</x:v>
      </x:c>
      <x:c r="J286" s="8" t="str"/>
    </x:row>
    <x:row r="287" ht="116" customHeight="1">
      <x:c r="A287" s="7" t="str">
        <x:v>D35</x:v>
      </x:c>
      <x:c r="B287" s="7" t="str">
        <x:v>changed</x:v>
      </x:c>
      <x:c r="C287" s="7" t="str">
        <x:v>C</x:v>
      </x:c>
      <x:c r="D287" s="7" t="str">
        <x:v>Drop onto the goalkeeper.</x:v>
      </x:c>
      <x:c r="E287" s="7" t="str">
        <x:v>misread</x:v>
      </x:c>
      <x:c r="F287" s="7" t="str">
        <x:v>This risks losing the relationship we are trying to preserve: Drop onto the goalkeeper.</x:v>
      </x:c>
      <x:c r="G287" s="7" t="str">
        <x:v>Review pause only; no speculative failure animation.</x:v>
      </x:c>
      <x:c r="H287" s="7" t="str">
        <x:v>Track a runner if teammate takes that zone.</x:v>
      </x:c>
      <x:c r="I287" s="7" t="str">
        <x:v>MSA12</x:v>
      </x:c>
      <x:c r="J287" s="8" t="str"/>
    </x:row>
    <x:row r="288" ht="116" customHeight="1">
      <x:c r="A288" s="7" t="str">
        <x:v>D35</x:v>
      </x:c>
      <x:c r="B288" s="7" t="str">
        <x:v>changed</x:v>
      </x:c>
      <x:c r="C288" s="7" t="str">
        <x:v>D</x:v>
      </x:c>
      <x:c r="D288" s="7" t="str">
        <x:v>Pause, scan and communicate before committing</x:v>
      </x:c>
      <x:c r="E288" s="7" t="str">
        <x:v>acceptable</x:v>
      </x:c>
      <x:c r="F288" s="7" t="str">
        <x:v>Scanning is useful, but reassess before the opportunity disappears.</x:v>
      </x:c>
      <x:c r="G288" s="7" t="str">
        <x:v>Review pause only; no speculative failure animation.</x:v>
      </x:c>
      <x:c r="H288" s="7" t="str">
        <x:v>Track a runner if teammate takes that zone.</x:v>
      </x:c>
      <x:c r="I288" s="7" t="str">
        <x:v>MSA12</x:v>
      </x:c>
      <x:c r="J288" s="8" t="str"/>
    </x:row>
    <x:row r="289" ht="116" customHeight="1">
      <x:c r="A289" s="7" t="str">
        <x:v>D36</x:v>
      </x:c>
      <x:c r="B289" s="7" t="str">
        <x:v>base</x:v>
      </x:c>
      <x:c r="C289" s="7" t="str">
        <x:v>A</x:v>
      </x:c>
      <x:c r="D289" s="7" t="str">
        <x:v>Close to obstruct delivery</x:v>
      </x:c>
      <x:c r="E289" s="7" t="str">
        <x:v>preferred</x:v>
      </x:c>
      <x:c r="F289" s="7" t="str">
        <x:v>Read the original cue: You can pressure wide carrier with cover behind.</x:v>
      </x:c>
      <x:c r="G289" s="7" t="str">
        <x:v>Illustrative endpoint for this option; no guaranteed goal, turnover or calibrated travel time.</x:v>
      </x:c>
      <x:c r="H289" s="7" t="str">
        <x:v>Close to obstruct delivery.</x:v>
      </x:c>
      <x:c r="I289" s="7" t="str">
        <x:v>MSA12</x:v>
      </x:c>
      <x:c r="J289" s="8" t="str"/>
    </x:row>
    <x:row r="290" ht="116" customHeight="1">
      <x:c r="A290" s="7" t="str">
        <x:v>D36</x:v>
      </x:c>
      <x:c r="B290" s="7" t="str">
        <x:v>base</x:v>
      </x:c>
      <x:c r="C290" s="7" t="str">
        <x:v>B</x:v>
      </x:c>
      <x:c r="D290" s="7" t="str">
        <x:v>Recover inside</x:v>
      </x:c>
      <x:c r="E290" s="7" t="str">
        <x:v>acceptable</x:v>
      </x:c>
      <x:c r="F290" s="7" t="str">
        <x:v>Read the original cue: You can pressure wide carrier with cover behind.</x:v>
      </x:c>
      <x:c r="G290" s="7" t="str">
        <x:v>Illustrative endpoint for this option; no guaranteed goal, turnover or calibrated travel time.</x:v>
      </x:c>
      <x:c r="H290" s="7" t="str">
        <x:v>Close to obstruct delivery.</x:v>
      </x:c>
      <x:c r="I290" s="7" t="str">
        <x:v>MSA12</x:v>
      </x:c>
      <x:c r="J290" s="8" t="str"/>
    </x:row>
    <x:row r="291" ht="116" customHeight="1">
      <x:c r="A291" s="7" t="str">
        <x:v>D36</x:v>
      </x:c>
      <x:c r="B291" s="7" t="str">
        <x:v>base</x:v>
      </x:c>
      <x:c r="C291" s="7" t="str">
        <x:v>C</x:v>
      </x:c>
      <x:c r="D291" s="7" t="str">
        <x:v>Rush out too late and abandon inside.</x:v>
      </x:c>
      <x:c r="E291" s="7" t="str">
        <x:v>misread</x:v>
      </x:c>
      <x:c r="F291" s="7" t="str">
        <x:v>This risks losing the relationship we are trying to preserve: Rush out too late and abandon inside.</x:v>
      </x:c>
      <x:c r="G291" s="7" t="str">
        <x:v>Review pause only; no speculative failure animation.</x:v>
      </x:c>
      <x:c r="H291" s="7" t="str">
        <x:v>Close to obstruct delivery.</x:v>
      </x:c>
      <x:c r="I291" s="7" t="str">
        <x:v>MSA12</x:v>
      </x:c>
      <x:c r="J291" s="8" t="str"/>
    </x:row>
    <x:row r="292" ht="116" customHeight="1">
      <x:c r="A292" s="7" t="str">
        <x:v>D36</x:v>
      </x:c>
      <x:c r="B292" s="7" t="str">
        <x:v>base</x:v>
      </x:c>
      <x:c r="C292" s="7" t="str">
        <x:v>D</x:v>
      </x:c>
      <x:c r="D292" s="7" t="str">
        <x:v>Pause, scan and communicate before committing</x:v>
      </x:c>
      <x:c r="E292" s="7" t="str">
        <x:v>acceptable</x:v>
      </x:c>
      <x:c r="F292" s="7" t="str">
        <x:v>Scanning is useful, but reassess before the opportunity disappears.</x:v>
      </x:c>
      <x:c r="G292" s="7" t="str">
        <x:v>Review pause only; no speculative failure animation.</x:v>
      </x:c>
      <x:c r="H292" s="7" t="str">
        <x:v>Close to obstruct delivery.</x:v>
      </x:c>
      <x:c r="I292" s="7" t="str">
        <x:v>MSA12</x:v>
      </x:c>
      <x:c r="J292" s="8" t="str"/>
    </x:row>
    <x:row r="293" ht="116" customHeight="1">
      <x:c r="A293" s="7" t="str">
        <x:v>D36</x:v>
      </x:c>
      <x:c r="B293" s="7" t="str">
        <x:v>changed</x:v>
      </x:c>
      <x:c r="C293" s="7" t="str">
        <x:v>A</x:v>
      </x:c>
      <x:c r="D293" s="7" t="str">
        <x:v>Close to obstruct delivery</x:v>
      </x:c>
      <x:c r="E293" s="7" t="str">
        <x:v>acceptable</x:v>
      </x:c>
      <x:c r="F293" s="7" t="str">
        <x:v>Read the changed cue: The carrier is now too distant for immediate pressure; protect the inside route.</x:v>
      </x:c>
      <x:c r="G293" s="7" t="str">
        <x:v>Illustrative endpoint for this option; no guaranteed goal, turnover or calibrated travel time.</x:v>
      </x:c>
      <x:c r="H293" s="7" t="str">
        <x:v>Recover inside if you cannot arrive in time.</x:v>
      </x:c>
      <x:c r="I293" s="7" t="str">
        <x:v>MSA12</x:v>
      </x:c>
      <x:c r="J293" s="8" t="str"/>
    </x:row>
    <x:row r="294" ht="116" customHeight="1">
      <x:c r="A294" s="7" t="str">
        <x:v>D36</x:v>
      </x:c>
      <x:c r="B294" s="7" t="str">
        <x:v>changed</x:v>
      </x:c>
      <x:c r="C294" s="7" t="str">
        <x:v>B</x:v>
      </x:c>
      <x:c r="D294" s="7" t="str">
        <x:v>Recover inside</x:v>
      </x:c>
      <x:c r="E294" s="7" t="str">
        <x:v>preferred</x:v>
      </x:c>
      <x:c r="F294" s="7" t="str">
        <x:v>Read the changed cue: The carrier is now too distant for immediate pressure; protect the inside route.</x:v>
      </x:c>
      <x:c r="G294" s="7" t="str">
        <x:v>Illustrative endpoint for this option; no guaranteed goal, turnover or calibrated travel time.</x:v>
      </x:c>
      <x:c r="H294" s="7" t="str">
        <x:v>Recover inside if you cannot arrive in time.</x:v>
      </x:c>
      <x:c r="I294" s="7" t="str">
        <x:v>MSA12</x:v>
      </x:c>
      <x:c r="J294" s="8" t="str"/>
    </x:row>
    <x:row r="295" ht="116" customHeight="1">
      <x:c r="A295" s="7" t="str">
        <x:v>D36</x:v>
      </x:c>
      <x:c r="B295" s="7" t="str">
        <x:v>changed</x:v>
      </x:c>
      <x:c r="C295" s="7" t="str">
        <x:v>C</x:v>
      </x:c>
      <x:c r="D295" s="7" t="str">
        <x:v>Rush out too late and abandon inside.</x:v>
      </x:c>
      <x:c r="E295" s="7" t="str">
        <x:v>misread</x:v>
      </x:c>
      <x:c r="F295" s="7" t="str">
        <x:v>This risks losing the relationship we are trying to preserve: Rush out too late and abandon inside.</x:v>
      </x:c>
      <x:c r="G295" s="7" t="str">
        <x:v>Review pause only; no speculative failure animation.</x:v>
      </x:c>
      <x:c r="H295" s="7" t="str">
        <x:v>Recover inside if you cannot arrive in time.</x:v>
      </x:c>
      <x:c r="I295" s="7" t="str">
        <x:v>MSA12</x:v>
      </x:c>
      <x:c r="J295" s="8" t="str"/>
    </x:row>
    <x:row r="296" ht="116" customHeight="1">
      <x:c r="A296" s="7" t="str">
        <x:v>D36</x:v>
      </x:c>
      <x:c r="B296" s="7" t="str">
        <x:v>changed</x:v>
      </x:c>
      <x:c r="C296" s="7" t="str">
        <x:v>D</x:v>
      </x:c>
      <x:c r="D296" s="7" t="str">
        <x:v>Pause, scan and communicate before committing</x:v>
      </x:c>
      <x:c r="E296" s="7" t="str">
        <x:v>acceptable</x:v>
      </x:c>
      <x:c r="F296" s="7" t="str">
        <x:v>Scanning is useful, but reassess before the opportunity disappears.</x:v>
      </x:c>
      <x:c r="G296" s="7" t="str">
        <x:v>Review pause only; no speculative failure animation.</x:v>
      </x:c>
      <x:c r="H296" s="7" t="str">
        <x:v>Recover inside if you cannot arrive in time.</x:v>
      </x:c>
      <x:c r="I296" s="7" t="str">
        <x:v>MSA12</x:v>
      </x:c>
      <x:c r="J296" s="8" t="str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</x:row>
  </x:sheetData>
  <x:pageMargins left="0.7" right="0.7" top="0.75" bottom="0.75" header="0.3" footer="0.3"/>
  <x:tableParts count="1">
    <x:tablePart xmlns:r="http://schemas.openxmlformats.org/officeDocument/2006/relationships" r:id="R305d4df33efe494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14" hidden="0" customWidth="1"/>
    <x:col min="2" max="2" width="42" hidden="0" customWidth="1"/>
    <x:col min="3" max="3" width="45" hidden="0" customWidth="1"/>
    <x:col min="4" max="4" width="65" hidden="0" customWidth="1"/>
    <x:col min="5" max="5" width="50" hidden="0" customWidth="1"/>
    <x:col min="6" max="6" width="65" hidden="0" customWidth="1"/>
    <x:col min="7" max="7" width="65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Source evidence</x:v>
      </x:c>
      <x:c r="B2" s="1"/>
      <x:c r="C2" s="1"/>
      <x:c r="D2" s="1"/>
      <x:c r="E2" s="1"/>
      <x:c r="F2" s="1"/>
      <x:c r="G2" s="1"/>
    </x:row>
    <x:row r="3">
      <x:c r="A3" s="1"/>
      <x:c r="B3" s="1"/>
      <x:c r="C3" s="1"/>
      <x:c r="D3" s="1"/>
      <x:c r="E3" s="1"/>
      <x:c r="F3" s="1"/>
      <x:c r="G3" s="1"/>
    </x:row>
    <x:row r="4">
      <x:c r="A4" s="1" t="str">
        <x:v>Source metadata imported from the existing package. Sources support principles, not the authored coordinates or every answer.</x:v>
      </x:c>
      <x:c r="B4" s="1"/>
      <x:c r="C4" s="1"/>
      <x:c r="D4" s="1"/>
      <x:c r="E4" s="1"/>
      <x:c r="F4" s="1"/>
      <x:c r="G4" s="1"/>
    </x:row>
    <x:row r="5">
      <x:c r="A5" s="1" t="str">
        <x:v>Original library preserved. Coaches must assess the adaptation; an association-hosted plan is not approval of this game.</x:v>
      </x:c>
      <x:c r="B5" s="1"/>
      <x:c r="C5" s="1"/>
      <x:c r="D5" s="1"/>
      <x:c r="E5" s="1"/>
      <x:c r="F5" s="1"/>
      <x:c r="G5" s="1"/>
    </x:row>
    <x:row r="6">
      <x:c r="A6" s="1"/>
      <x:c r="B6" s="1"/>
      <x:c r="C6" s="1"/>
      <x:c r="D6" s="1"/>
      <x:c r="E6" s="1"/>
      <x:c r="F6" s="1"/>
      <x:c r="G6" s="1"/>
    </x:row>
    <x:row r="7">
      <x:c r="A7" s="1"/>
      <x:c r="B7" s="1"/>
      <x:c r="C7" s="1"/>
      <x:c r="D7" s="1"/>
      <x:c r="E7" s="1"/>
      <x:c r="F7" s="1"/>
      <x:c r="G7" s="1"/>
    </x:row>
    <x:row r="8" ht="44" customHeight="1">
      <x:c r="A8" s="5" t="str">
        <x:v>Source ID</x:v>
      </x:c>
      <x:c r="B8" s="5" t="str">
        <x:v>Title</x:v>
      </x:c>
      <x:c r="C8" s="5" t="str">
        <x:v>Publisher</x:v>
      </x:c>
      <x:c r="D8" s="5" t="str">
        <x:v>Activity / principle</x:v>
      </x:c>
      <x:c r="E8" s="5" t="str">
        <x:v>Locator</x:v>
      </x:c>
      <x:c r="F8" s="5" t="str">
        <x:v>Source limitations</x:v>
      </x:c>
      <x:c r="G8" s="5" t="str">
        <x:v>URL</x:v>
      </x:c>
    </x:row>
    <x:row r="9" ht="145" customHeight="1">
      <x:c r="A9" s="7" t="str">
        <x:v>MSA01</x:v>
      </x:c>
      <x:c r="B9" s="7" t="str">
        <x:v>9v9 Build from your own half A</x:v>
      </x:c>
      <x:c r="C9" s="7" t="str">
        <x:v>Mississippi Soccer Association (host); U.S. Soccer-branded plan</x:v>
      </x:c>
      <x:c r="D9" s="7" t="str">
        <x:v>2v1 end-zone core; 3v1 easier; narrower 2v1 harder.</x:v>
      </x:c>
      <x:c r="E9" s="7" t="str">
        <x:v>Page1 core activity and guided questions; page2 progression/final play (MSA07 also page3 reflection)</x:v>
      </x:c>
      <x:c r="F9" s="7" t="str">
        <x:v>Final play is8v8, not9v9. Use principles and explicit adaptations, not a copied full-match roster.</x:v>
      </x:c>
      <x:c r="G9" s="7" t="str">
        <x:v>https://www.mssoccer.org/wp-content/uploads/sites/176/2023/10/9v9-improve-building-up-in-own-half-a-10-5-2023-8-13-25-pm.pdf</x:v>
      </x:c>
    </x:row>
    <x:row r="10" ht="145" customHeight="1">
      <x:c r="A10" s="7" t="str">
        <x:v>MSA02</x:v>
      </x:c>
      <x:c r="B10" s="7" t="str">
        <x:v>9v9 Build from your own half B</x:v>
      </x:c>
      <x:c r="C10" s="7" t="str">
        <x:v>Mississippi Soccer Association (host); U.S. Soccer-branded plan</x:v>
      </x:c>
      <x:c r="D10" s="7" t="str">
        <x:v>Core heading says 4v3 to 5v4; body describes 4v3 then 4v4; nine vs seven participants, 1-3-2-3 attacking.</x:v>
      </x:c>
      <x:c r="E10" s="7" t="str">
        <x:v>Page1 core activity and guided questions; page2 progression/final play (MSA07 also page3 reflection)</x:v>
      </x:c>
      <x:c r="F10" s="7" t="str">
        <x:v>Final play is8v8, not9v9. Use principles and explicit adaptations, not a copied full-match roster.</x:v>
      </x:c>
      <x:c r="G10" s="7" t="str">
        <x:v>https://www.mssoccer.org/wp-content/uploads/sites/176/2023/10/9v9-improve-building-up-in-own-half-b-10-5-2023-8-13-10-pm.pdf</x:v>
      </x:c>
    </x:row>
    <x:row r="11" ht="145" customHeight="1">
      <x:c r="A11" s="7" t="str">
        <x:v>MSA03</x:v>
      </x:c>
      <x:c r="B11" s="7" t="str">
        <x:v>9v9 Create chances in opponent half A</x:v>
      </x:c>
      <x:c r="C11" s="7" t="str">
        <x:v>Mississippi Soccer Association (host); U.S. Soccer-branded plan</x:v>
      </x:c>
      <x:c r="D11" s="7" t="str">
        <x:v>6v4 core, 6v3 easier, 6v5 harder; two targets per end.</x:v>
      </x:c>
      <x:c r="E11" s="7" t="str">
        <x:v>Page1 core activity and guided questions; page2 progression/final play (MSA07 also page3 reflection)</x:v>
      </x:c>
      <x:c r="F11" s="7" t="str">
        <x:v>Final play is8v8, not9v9. Use principles and explicit adaptations, not a copied full-match roster.</x:v>
      </x:c>
      <x:c r="G11" s="7" t="str">
        <x:v>https://www.mssoccer.org/wp-content/uploads/sites/176/2023/10/9v9-improve-building-up-in-opponents-half-to-create-chances-a-10-5-2023-8-13-59-pm.pdf</x:v>
      </x:c>
    </x:row>
    <x:row r="12" ht="145" customHeight="1">
      <x:c r="A12" s="7" t="str">
        <x:v>MSA04</x:v>
      </x:c>
      <x:c r="B12" s="7" t="str">
        <x:v>9v9 Create chances in opponent half B</x:v>
      </x:c>
      <x:c r="C12" s="7" t="str">
        <x:v>Mississippi Soccer Association (host); U.S. Soccer-branded plan</x:v>
      </x:c>
      <x:c r="D12" s="7" t="str">
        <x:v>9v7 end-zone core in1-3-2-3; 9v6 and8v8 variants.</x:v>
      </x:c>
      <x:c r="E12" s="7" t="str">
        <x:v>Page1 core activity and guided questions; page2 progression/final play (MSA07 also page3 reflection)</x:v>
      </x:c>
      <x:c r="F12" s="7" t="str">
        <x:v>Final play is8v8, not9v9. Use principles and explicit adaptations, not a copied full-match roster.</x:v>
      </x:c>
      <x:c r="G12" s="7" t="str">
        <x:v>https://www.mssoccer.org/wp-content/uploads/sites/176/2023/10/9v9-improve-building-up-in-opponents-half-to-create-chances-b-10-5-2023-8-14-22-pm.pdf</x:v>
      </x:c>
    </x:row>
    <x:row r="13" ht="145" customHeight="1">
      <x:c r="A13" s="7" t="str">
        <x:v>MSA05</x:v>
      </x:c>
      <x:c r="B13" s="7" t="str">
        <x:v>9v9 Score goals A</x:v>
      </x:c>
      <x:c r="C13" s="7" t="str">
        <x:v>Mississippi Soccer Association (host); U.S. Soccer-branded plan</x:v>
      </x:c>
      <x:c r="D13" s="7" t="str">
        <x:v>2 attackers vs1 defender plus recovering defender and GK; easier removes recovery.</x:v>
      </x:c>
      <x:c r="E13" s="7" t="str">
        <x:v>Page1 core activity and guided questions; page2 progression/final play (MSA07 also page3 reflection)</x:v>
      </x:c>
      <x:c r="F13" s="7" t="str">
        <x:v>Final play is8v8, not9v9. Use principles and explicit adaptations, not a copied full-match roster.</x:v>
      </x:c>
      <x:c r="G13" s="7" t="str">
        <x:v>https://www.mssoccer.org/wp-content/uploads/sites/176/2023/10/9v9-improve-scoring-goals-a-10-5-2023-8-15-12-pm.pdf</x:v>
      </x:c>
    </x:row>
    <x:row r="14" ht="145" customHeight="1">
      <x:c r="A14" s="7" t="str">
        <x:v>MSA06</x:v>
      </x:c>
      <x:c r="B14" s="7" t="str">
        <x:v>9v9 Score goals B</x:v>
      </x:c>
      <x:c r="C14" s="7" t="str">
        <x:v>Mississippi Soccer Association (host); U.S. Soccer-branded plan</x:v>
      </x:c>
      <x:c r="D14" s="7" t="str">
        <x:v>5 attackers vs2 defenders plus GK; harder4v3 plus GK.</x:v>
      </x:c>
      <x:c r="E14" s="7" t="str">
        <x:v>Page1 core activity and guided questions; page2 progression/final play (MSA07 also page3 reflection)</x:v>
      </x:c>
      <x:c r="F14" s="7" t="str">
        <x:v>Final play is8v8, not9v9. Use principles and explicit adaptations, not a copied full-match roster.</x:v>
      </x:c>
      <x:c r="G14" s="7" t="str">
        <x:v>https://www.mssoccer.org/wp-content/uploads/sites/176/2023/10/9v9-improve-scoring-goals-b-10-5-2023-8-14-55-pm.pdf</x:v>
      </x:c>
    </x:row>
    <x:row r="15" ht="145" customHeight="1">
      <x:c r="A15" s="7" t="str">
        <x:v>MSA07</x:v>
      </x:c>
      <x:c r="B15" s="7" t="str">
        <x:v>9v9 Prevent build-up in opponent half A</x:v>
      </x:c>
      <x:c r="C15" s="7" t="str">
        <x:v>Mississippi Soccer Association (host); U.S. Soccer-branded plan</x:v>
      </x:c>
      <x:c r="D15" s="7" t="str">
        <x:v>4v4 including GKs: central pressing fragment;5v4/5v5 variants.</x:v>
      </x:c>
      <x:c r="E15" s="7" t="str">
        <x:v>Page1 core activity and guided questions; page2 progression/final play (MSA07 also page3 reflection)</x:v>
      </x:c>
      <x:c r="F15" s="7" t="str">
        <x:v>Final play is8v8, not9v9. Use principles and explicit adaptations, not a copied full-match roster.</x:v>
      </x:c>
      <x:c r="G15" s="7" t="str">
        <x:v>https://www.mssoccer.org/wp-content/uploads/sites/176/2023/10/9v9-improve-preventing-building-up-in-opponents-half-a-10-5-2023-8-19-23-pm.pdf</x:v>
      </x:c>
    </x:row>
    <x:row r="16" ht="145" customHeight="1">
      <x:c r="A16" s="7" t="str">
        <x:v>MSA08</x:v>
      </x:c>
      <x:c r="B16" s="7" t="str">
        <x:v>9v9 Prevent build-up in opponent half B</x:v>
      </x:c>
      <x:c r="C16" s="7" t="str">
        <x:v>Mississippi Soccer Association (host); U.S. Soccer-branded plan</x:v>
      </x:c>
      <x:c r="D16" s="7" t="str">
        <x:v>4v4 including GKs: three forwards versus three defenders;5v4/5v5 variants.</x:v>
      </x:c>
      <x:c r="E16" s="7" t="str">
        <x:v>Page1 core activity and guided questions; page2 progression/final play (MSA07 also page3 reflection)</x:v>
      </x:c>
      <x:c r="F16" s="7" t="str">
        <x:v>Final play is8v8, not9v9. Use principles and explicit adaptations, not a copied full-match roster.</x:v>
      </x:c>
      <x:c r="G16" s="7" t="str">
        <x:v>https://www.mssoccer.org/wp-content/uploads/sites/176/2023/10/9v9-improve-preventing-building-up-in-opponents-half-b-10-5-2023-8-20-14-pm.pdf</x:v>
      </x:c>
    </x:row>
    <x:row r="17" ht="145" customHeight="1">
      <x:c r="A17" s="7" t="str">
        <x:v>MSA09</x:v>
      </x:c>
      <x:c r="B17" s="7" t="str">
        <x:v>9v9 Prevent build-up in own half A</x:v>
      </x:c>
      <x:c r="C17" s="7" t="str">
        <x:v>Mississippi Soccer Association (host); U.S. Soccer-branded plan</x:v>
      </x:c>
      <x:c r="D17" s="7" t="str">
        <x:v>2v2 end-zone core with offside from halfway; width variants.</x:v>
      </x:c>
      <x:c r="E17" s="7" t="str">
        <x:v>Page1 core activity and guided questions; page2 progression/final play (MSA07 also page3 reflection)</x:v>
      </x:c>
      <x:c r="F17" s="7" t="str">
        <x:v>Final play is8v8, not9v9. Use principles and explicit adaptations, not a copied full-match roster.</x:v>
      </x:c>
      <x:c r="G17" s="7" t="str">
        <x:v>https://www.mssoccer.org/wp-content/uploads/sites/176/2023/10/9v9-improve-preventing-opponent-from-building-up-in-our-half-a-10-5-2023-8-16-41-pm.pdf</x:v>
      </x:c>
    </x:row>
    <x:row r="18" ht="145" customHeight="1">
      <x:c r="A18" s="7" t="str">
        <x:v>MSA10</x:v>
      </x:c>
      <x:c r="B18" s="7" t="str">
        <x:v>9v9 Prevent build-up in own half B</x:v>
      </x:c>
      <x:c r="C18" s="7" t="str">
        <x:v>Mississippi Soccer Association (host); U.S. Soccer-branded plan</x:v>
      </x:c>
      <x:c r="D18" s="7" t="str">
        <x:v>Core8v8 =8 outfield attackers vs7 outfield defenders+GK; asymmetric shapes.</x:v>
      </x:c>
      <x:c r="E18" s="7" t="str">
        <x:v>Page1 core activity and guided questions; page2 progression/final play (MSA07 also page3 reflection)</x:v>
      </x:c>
      <x:c r="F18" s="7" t="str">
        <x:v>Final play is8v8, not9v9. Use principles and explicit adaptations, not a copied full-match roster.</x:v>
      </x:c>
      <x:c r="G18" s="7" t="str">
        <x:v>https://www.mssoccer.org/wp-content/uploads/sites/176/2023/10/9v9-improve-preventing-opponent-from-building-up-in-our-half-b-10-5-2023-8-17-20-pm.pdf</x:v>
      </x:c>
    </x:row>
    <x:row r="19" ht="145" customHeight="1">
      <x:c r="A19" s="7" t="str">
        <x:v>MSA11</x:v>
      </x:c>
      <x:c r="B19" s="7" t="str">
        <x:v>9v9 Prevent goals A</x:v>
      </x:c>
      <x:c r="C19" s="7" t="str">
        <x:v>Mississippi Soccer Association (host); U.S. Soccer-branded plan</x:v>
      </x:c>
      <x:c r="D19" s="7" t="str">
        <x:v>Active1v1+GK; waiting players and initial server are not active opponents.</x:v>
      </x:c>
      <x:c r="E19" s="7" t="str">
        <x:v>Page1 core activity and guided questions; page2 progression/final play (MSA07 also page3 reflection)</x:v>
      </x:c>
      <x:c r="F19" s="7" t="str">
        <x:v>Final play is8v8, not9v9. Use principles and explicit adaptations, not a copied full-match roster.</x:v>
      </x:c>
      <x:c r="G19" s="7" t="str">
        <x:v>https://www.mssoccer.org/wp-content/uploads/sites/176/2023/10/9v9-improve-preventing-scoring-a-10-5-2023-8-21-03-pm.pdf</x:v>
      </x:c>
    </x:row>
    <x:row r="20" ht="145" customHeight="1">
      <x:c r="A20" s="7" t="str">
        <x:v>MSA12</x:v>
      </x:c>
      <x:c r="B20" s="7" t="str">
        <x:v>9v9 Prevent goals B</x:v>
      </x:c>
      <x:c r="C20" s="7" t="str">
        <x:v>Mississippi Soccer Association (host); U.S. Soccer-branded plan</x:v>
      </x:c>
      <x:c r="D20" s="7" t="str">
        <x:v>5+2 attackers vs4 defenders+GK; wider variant brings outside attackers inside.</x:v>
      </x:c>
      <x:c r="E20" s="7" t="str">
        <x:v>Page1 core activity and guided questions; page2 progression/final play (MSA07 also page3 reflection)</x:v>
      </x:c>
      <x:c r="F20" s="7" t="str">
        <x:v>Final play is8v8, not9v9. Use principles and explicit adaptations, not a copied full-match roster.</x:v>
      </x:c>
      <x:c r="G20" s="7" t="str">
        <x:v>https://www.mssoccer.org/wp-content/uploads/sites/176/2023/10/9v9-improve-preventing-scoring-b-10-5-2023-8-20-49-pm.pdf</x:v>
      </x:c>
    </x:row>
    <x:row r="21" ht="145" customHeight="1">
      <x:c r="A21" s="7" t="str">
        <x:v>SSP01</x:v>
      </x:c>
      <x:c r="B21" s="7" t="str">
        <x:v>9v9 Building attacks from the GK</x:v>
      </x:c>
      <x:c r="C21" s="7" t="str">
        <x:v>Sport Session Planner, user-authored plan</x:v>
      </x:c>
      <x:c r="D21" s="7" t="str">
        <x:v>GK+5 vs3 progresses to9v9 in1-3-2-3; forward access or recirculation, support and weak-side balance.</x:v>
      </x:c>
      <x:c r="E21" s="7" t="str">
        <x:v>Screen3 and Screen4</x:v>
      </x:c>
      <x:c r="F21" s="7" t="str">
        <x:v>Not federation certification. Pilot positions, options and timing are original adaptations.</x:v>
      </x:c>
      <x:c r="G21" s="7" t="str">
        <x:v>https://www.sportsessionplanner.com/s/ulPbb/9v9-Building-attacks-from-the-GK.html?interface=en</x:v>
      </x:c>
    </x:row>
    <x:row r="22" ht="145" customHeight="1">
      <x:c r="A22" s="7" t="str">
        <x:v>SSP02</x:v>
      </x:c>
      <x:c r="B22" s="7" t="str">
        <x:v>9v9 Practice9 High Press Defending (1-3-2-3 Formation)</x:v>
      </x:c>
      <x:c r="C22" s="7" t="str">
        <x:v>Sport Session Planner, user-authored plan</x:v>
      </x:c>
      <x:c r="D22" s="7" t="str">
        <x:v>Press, delay or drop; front-player coordination and central screening.</x:v>
      </x:c>
      <x:c r="E22" s="7" t="str">
        <x:v>Description; Functional Practice; final SSG</x:v>
      </x:c>
      <x:c r="F22" s="7" t="str">
        <x:v>Final SSG explicitly references back4+midfield3 despite9v9 title. Quarantine that structure. Timing headings also conflict; no exact roster or timing imported.</x:v>
      </x:c>
      <x:c r="G22" s="7" t="str">
        <x:v>https://www.sportsessionplanner.com/s/Bv9mi/9v9-Practice-9-High-Press-Defending-(1-3-2-3-Formation).html?interface=en</x:v>
      </x:c>
    </x:row>
    <x:row r="23">
      <x:c r="A23" s="1"/>
      <x:c r="B23" s="1"/>
      <x:c r="C23" s="1"/>
      <x:c r="D23" s="1"/>
      <x:c r="E23" s="1"/>
      <x:c r="F23" s="1"/>
      <x:c r="G23" s="1"/>
    </x:row>
  </x:sheetData>
  <x:pageMargins left="0.7" right="0.7" top="0.75" bottom="0.75" header="0.3" footer="0.3"/>
  <x:tableParts count="1">
    <x:tablePart xmlns:r="http://schemas.openxmlformats.org/officeDocument/2006/relationships" r:id="R0c68945f522843bb"/>
  </x:tableParts>
</x:worksheet>
</file>